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Bureau\S7\Emp finance\"/>
    </mc:Choice>
  </mc:AlternateContent>
  <xr:revisionPtr revIDLastSave="0" documentId="13_ncr:1_{94EAFF3F-83BC-4938-93D0-B82362413912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MSCI data" sheetId="1" r:id="rId1"/>
    <sheet name="France equity data" sheetId="5" r:id="rId2"/>
    <sheet name="Gold data" sheetId="4" r:id="rId3"/>
    <sheet name="index MSCI" sheetId="2" r:id="rId4"/>
    <sheet name="index France" sheetId="6" r:id="rId5"/>
    <sheet name="index Gold" sheetId="7" r:id="rId6"/>
    <sheet name="Graph" sheetId="3" r:id="rId7"/>
    <sheet name="retur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3" i="2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3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C3" i="2"/>
  <c r="C2" i="2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D146" i="3" l="1"/>
  <c r="C146" i="3"/>
  <c r="B146" i="3"/>
  <c r="D212" i="3"/>
  <c r="C212" i="3"/>
  <c r="B212" i="3"/>
  <c r="D110" i="3"/>
  <c r="C110" i="3"/>
  <c r="B110" i="3"/>
  <c r="D201" i="3"/>
  <c r="C201" i="3"/>
  <c r="B201" i="3"/>
  <c r="D113" i="3"/>
  <c r="C113" i="3"/>
  <c r="B113" i="3"/>
  <c r="D69" i="3"/>
  <c r="C69" i="3"/>
  <c r="B69" i="3"/>
  <c r="D138" i="3"/>
  <c r="C138" i="3"/>
  <c r="B138" i="3"/>
  <c r="D206" i="3"/>
  <c r="C206" i="3"/>
  <c r="B206" i="3"/>
  <c r="D133" i="3"/>
  <c r="C133" i="3"/>
  <c r="B133" i="3"/>
  <c r="D73" i="3"/>
  <c r="C73" i="3"/>
  <c r="B73" i="3"/>
  <c r="D152" i="3"/>
  <c r="C152" i="3"/>
  <c r="B152" i="3"/>
  <c r="D195" i="3"/>
  <c r="C195" i="3"/>
  <c r="B195" i="3"/>
  <c r="D186" i="3"/>
  <c r="C186" i="3"/>
  <c r="B186" i="3"/>
  <c r="D199" i="3"/>
  <c r="C199" i="3"/>
  <c r="B199" i="3"/>
  <c r="D66" i="3"/>
  <c r="C66" i="3"/>
  <c r="B66" i="3"/>
  <c r="D31" i="3"/>
  <c r="C31" i="3"/>
  <c r="B31" i="3"/>
  <c r="D35" i="3"/>
  <c r="C35" i="3"/>
  <c r="B35" i="3"/>
  <c r="D48" i="3"/>
  <c r="C48" i="3"/>
  <c r="B48" i="3"/>
  <c r="D42" i="3"/>
  <c r="C42" i="3"/>
  <c r="B42" i="3"/>
  <c r="D200" i="3"/>
  <c r="C200" i="3"/>
  <c r="B200" i="3"/>
  <c r="D106" i="3"/>
  <c r="C106" i="3"/>
  <c r="B106" i="3"/>
  <c r="D3" i="3"/>
  <c r="C3" i="3"/>
  <c r="B3" i="3"/>
  <c r="B130" i="3"/>
  <c r="C130" i="3"/>
  <c r="D130" i="3"/>
  <c r="B109" i="3"/>
  <c r="C109" i="3"/>
  <c r="D109" i="3"/>
  <c r="B9" i="3"/>
  <c r="C9" i="3"/>
  <c r="D9" i="3"/>
  <c r="B92" i="3"/>
  <c r="C92" i="3"/>
  <c r="D92" i="3"/>
  <c r="D155" i="3"/>
  <c r="C155" i="3"/>
  <c r="B155" i="3"/>
  <c r="B65" i="3"/>
  <c r="C65" i="3"/>
  <c r="D65" i="3"/>
  <c r="D124" i="3"/>
  <c r="C124" i="3"/>
  <c r="B124" i="3"/>
  <c r="B166" i="3"/>
  <c r="C166" i="3"/>
  <c r="D166" i="3"/>
  <c r="D153" i="3"/>
  <c r="C153" i="3"/>
  <c r="B153" i="3"/>
  <c r="B209" i="3"/>
  <c r="C209" i="3"/>
  <c r="D209" i="3"/>
  <c r="B87" i="3"/>
  <c r="C87" i="3"/>
  <c r="D87" i="3"/>
  <c r="D122" i="3"/>
  <c r="C122" i="3"/>
  <c r="B122" i="3"/>
  <c r="B95" i="3"/>
  <c r="C95" i="3"/>
  <c r="D95" i="3"/>
  <c r="D100" i="3"/>
  <c r="C100" i="3"/>
  <c r="B100" i="3"/>
  <c r="B56" i="3"/>
  <c r="C56" i="3"/>
  <c r="D56" i="3"/>
  <c r="B105" i="3"/>
  <c r="C105" i="3"/>
  <c r="D105" i="3"/>
  <c r="D68" i="3"/>
  <c r="C68" i="3"/>
  <c r="B68" i="3"/>
  <c r="B145" i="3"/>
  <c r="C145" i="3"/>
  <c r="D145" i="3"/>
  <c r="D50" i="3"/>
  <c r="C50" i="3"/>
  <c r="B50" i="3"/>
  <c r="B125" i="3"/>
  <c r="C125" i="3"/>
  <c r="D125" i="3"/>
  <c r="B4" i="3"/>
  <c r="C4" i="3"/>
  <c r="D4" i="3"/>
  <c r="B183" i="3"/>
  <c r="C183" i="3"/>
  <c r="D183" i="3"/>
  <c r="D62" i="3"/>
  <c r="C62" i="3"/>
  <c r="B62" i="3"/>
  <c r="D135" i="3"/>
  <c r="C135" i="3"/>
  <c r="B135" i="3"/>
  <c r="D139" i="3"/>
  <c r="C139" i="3"/>
  <c r="B139" i="3"/>
  <c r="D202" i="3"/>
  <c r="C202" i="3"/>
  <c r="B202" i="3"/>
  <c r="D194" i="3"/>
  <c r="C194" i="3"/>
  <c r="B194" i="3"/>
  <c r="D90" i="3"/>
  <c r="C90" i="3"/>
  <c r="B90" i="3"/>
  <c r="D53" i="3"/>
  <c r="C53" i="3"/>
  <c r="B53" i="3"/>
  <c r="D131" i="3"/>
  <c r="C131" i="3"/>
  <c r="B131" i="3"/>
  <c r="B126" i="3"/>
  <c r="C126" i="3"/>
  <c r="D126" i="3"/>
  <c r="D13" i="3"/>
  <c r="C13" i="3"/>
  <c r="B13" i="3"/>
  <c r="D137" i="3"/>
  <c r="C137" i="3"/>
  <c r="B137" i="3"/>
  <c r="D86" i="3"/>
  <c r="C86" i="3"/>
  <c r="B86" i="3"/>
  <c r="B102" i="3"/>
  <c r="C102" i="3"/>
  <c r="D102" i="3"/>
  <c r="D101" i="3"/>
  <c r="C101" i="3"/>
  <c r="B101" i="3"/>
  <c r="D172" i="3"/>
  <c r="C172" i="3"/>
  <c r="B172" i="3"/>
  <c r="D198" i="3"/>
  <c r="C198" i="3"/>
  <c r="B198" i="3"/>
  <c r="B168" i="3"/>
  <c r="C168" i="3"/>
  <c r="D168" i="3"/>
  <c r="D94" i="3"/>
  <c r="C94" i="3"/>
  <c r="B94" i="3"/>
  <c r="B54" i="3"/>
  <c r="C54" i="3"/>
  <c r="D54" i="3"/>
  <c r="D192" i="3"/>
  <c r="C192" i="3"/>
  <c r="B192" i="3"/>
  <c r="D26" i="3"/>
  <c r="C26" i="3"/>
  <c r="B26" i="3"/>
  <c r="B59" i="3"/>
  <c r="C59" i="3"/>
  <c r="D59" i="3"/>
  <c r="D49" i="3"/>
  <c r="C49" i="3"/>
  <c r="B49" i="3"/>
  <c r="D181" i="3"/>
  <c r="C181" i="3"/>
  <c r="B181" i="3"/>
  <c r="D196" i="3"/>
  <c r="C196" i="3"/>
  <c r="B196" i="3"/>
  <c r="B64" i="3"/>
  <c r="C64" i="3"/>
  <c r="D64" i="3"/>
  <c r="D158" i="3"/>
  <c r="C158" i="3"/>
  <c r="B158" i="3"/>
  <c r="D151" i="3"/>
  <c r="C151" i="3"/>
  <c r="B151" i="3"/>
  <c r="D197" i="3"/>
  <c r="C197" i="3"/>
  <c r="B197" i="3"/>
  <c r="D187" i="3"/>
  <c r="C187" i="3"/>
  <c r="B187" i="3"/>
  <c r="B32" i="3"/>
  <c r="C32" i="3"/>
  <c r="D32" i="3"/>
  <c r="D148" i="3"/>
  <c r="C148" i="3"/>
  <c r="B148" i="3"/>
  <c r="B163" i="3"/>
  <c r="C163" i="3"/>
  <c r="D163" i="3"/>
  <c r="B17" i="3"/>
  <c r="C17" i="3"/>
  <c r="D17" i="3"/>
  <c r="D165" i="3"/>
  <c r="C165" i="3"/>
  <c r="B165" i="3"/>
  <c r="D170" i="3"/>
  <c r="C170" i="3"/>
  <c r="B170" i="3"/>
  <c r="B28" i="3"/>
  <c r="C28" i="3"/>
  <c r="D28" i="3"/>
  <c r="B156" i="3"/>
  <c r="C156" i="3"/>
  <c r="D156" i="3"/>
  <c r="D40" i="3"/>
  <c r="C40" i="3"/>
  <c r="B40" i="3"/>
  <c r="D114" i="3"/>
  <c r="C114" i="3"/>
  <c r="B114" i="3"/>
  <c r="D22" i="3"/>
  <c r="C22" i="3"/>
  <c r="B22" i="3"/>
  <c r="D182" i="3"/>
  <c r="C182" i="3"/>
  <c r="B182" i="3"/>
  <c r="D96" i="3"/>
  <c r="C96" i="3"/>
  <c r="B96" i="3"/>
  <c r="D136" i="3"/>
  <c r="C136" i="3"/>
  <c r="B136" i="3"/>
  <c r="B91" i="3"/>
  <c r="C91" i="3"/>
  <c r="D91" i="3"/>
  <c r="B127" i="3"/>
  <c r="C127" i="3"/>
  <c r="D127" i="3"/>
  <c r="D29" i="3"/>
  <c r="C29" i="3"/>
  <c r="B29" i="3"/>
  <c r="D164" i="3"/>
  <c r="C164" i="3"/>
  <c r="B164" i="3"/>
  <c r="B144" i="3"/>
  <c r="C144" i="3"/>
  <c r="D144" i="3"/>
  <c r="B112" i="3"/>
  <c r="C112" i="3"/>
  <c r="D112" i="3"/>
  <c r="D108" i="3"/>
  <c r="C108" i="3"/>
  <c r="B108" i="3"/>
  <c r="B103" i="3"/>
  <c r="C103" i="3"/>
  <c r="D103" i="3"/>
  <c r="D205" i="3"/>
  <c r="C205" i="3"/>
  <c r="B205" i="3"/>
  <c r="B147" i="3"/>
  <c r="C147" i="3"/>
  <c r="D147" i="3"/>
  <c r="D176" i="3"/>
  <c r="C176" i="3"/>
  <c r="B176" i="3"/>
  <c r="D117" i="3"/>
  <c r="C117" i="3"/>
  <c r="B117" i="3"/>
  <c r="B37" i="3"/>
  <c r="C37" i="3"/>
  <c r="D37" i="3"/>
  <c r="D5" i="3"/>
  <c r="C5" i="3"/>
  <c r="B5" i="3"/>
  <c r="B207" i="3"/>
  <c r="C207" i="3"/>
  <c r="D207" i="3"/>
  <c r="B116" i="3"/>
  <c r="C116" i="3"/>
  <c r="D116" i="3"/>
  <c r="D185" i="3"/>
  <c r="C185" i="3"/>
  <c r="B185" i="3"/>
  <c r="B36" i="3"/>
  <c r="C36" i="3"/>
  <c r="D36" i="3"/>
  <c r="B27" i="3"/>
  <c r="C27" i="3"/>
  <c r="D27" i="3"/>
  <c r="B47" i="3"/>
  <c r="C47" i="3"/>
  <c r="D47" i="3"/>
  <c r="B78" i="3"/>
  <c r="C78" i="3"/>
  <c r="D78" i="3"/>
  <c r="B203" i="3"/>
  <c r="C203" i="3"/>
  <c r="D203" i="3"/>
  <c r="B208" i="3"/>
  <c r="C208" i="3"/>
  <c r="D208" i="3"/>
  <c r="D18" i="3"/>
  <c r="C18" i="3"/>
  <c r="B18" i="3"/>
  <c r="D11" i="3"/>
  <c r="C11" i="3"/>
  <c r="B11" i="3"/>
  <c r="D169" i="3"/>
  <c r="C169" i="3"/>
  <c r="B169" i="3"/>
  <c r="D121" i="3"/>
  <c r="C121" i="3"/>
  <c r="B121" i="3"/>
  <c r="D171" i="3"/>
  <c r="C171" i="3"/>
  <c r="B171" i="3"/>
  <c r="D2" i="3"/>
  <c r="C2" i="3"/>
  <c r="D214" i="3"/>
  <c r="C214" i="3"/>
  <c r="B214" i="3"/>
  <c r="D88" i="3"/>
  <c r="C88" i="3"/>
  <c r="B88" i="3"/>
  <c r="B84" i="3"/>
  <c r="C84" i="3"/>
  <c r="D84" i="3"/>
  <c r="D150" i="3"/>
  <c r="C150" i="3"/>
  <c r="B150" i="3"/>
  <c r="D46" i="3"/>
  <c r="C46" i="3"/>
  <c r="B46" i="3"/>
  <c r="D118" i="3"/>
  <c r="C118" i="3"/>
  <c r="B118" i="3"/>
  <c r="D15" i="3"/>
  <c r="C15" i="3"/>
  <c r="B15" i="3"/>
  <c r="D58" i="3"/>
  <c r="C58" i="3"/>
  <c r="B58" i="3"/>
  <c r="D179" i="3"/>
  <c r="C179" i="3"/>
  <c r="B179" i="3"/>
  <c r="B140" i="3"/>
  <c r="C140" i="3"/>
  <c r="D140" i="3"/>
  <c r="B79" i="3"/>
  <c r="C79" i="3"/>
  <c r="D79" i="3"/>
  <c r="D33" i="3"/>
  <c r="C33" i="3"/>
  <c r="B33" i="3"/>
  <c r="B89" i="3"/>
  <c r="C89" i="3"/>
  <c r="D89" i="3"/>
  <c r="B167" i="3"/>
  <c r="C167" i="3"/>
  <c r="D167" i="3"/>
  <c r="B119" i="3"/>
  <c r="C119" i="3"/>
  <c r="D119" i="3"/>
  <c r="B81" i="3"/>
  <c r="C81" i="3"/>
  <c r="D81" i="3"/>
  <c r="D129" i="3"/>
  <c r="C129" i="3"/>
  <c r="B129" i="3"/>
  <c r="D20" i="3"/>
  <c r="C20" i="3"/>
  <c r="B20" i="3"/>
  <c r="D213" i="3"/>
  <c r="C213" i="3"/>
  <c r="B213" i="3"/>
  <c r="D123" i="3"/>
  <c r="C123" i="3"/>
  <c r="B123" i="3"/>
  <c r="D52" i="3"/>
  <c r="C52" i="3"/>
  <c r="B52" i="3"/>
  <c r="B120" i="3"/>
  <c r="C120" i="3"/>
  <c r="D120" i="3"/>
  <c r="B184" i="3"/>
  <c r="C184" i="3"/>
  <c r="D184" i="3"/>
  <c r="B190" i="3"/>
  <c r="C190" i="3"/>
  <c r="D190" i="3"/>
  <c r="D83" i="3"/>
  <c r="C83" i="3"/>
  <c r="B83" i="3"/>
  <c r="B161" i="3"/>
  <c r="C161" i="3"/>
  <c r="D161" i="3"/>
  <c r="D210" i="3"/>
  <c r="C210" i="3"/>
  <c r="B210" i="3"/>
  <c r="D80" i="3"/>
  <c r="C80" i="3"/>
  <c r="B80" i="3"/>
  <c r="B189" i="3"/>
  <c r="C189" i="3"/>
  <c r="D189" i="3"/>
  <c r="D21" i="3"/>
  <c r="C21" i="3"/>
  <c r="B21" i="3"/>
  <c r="B34" i="3"/>
  <c r="C34" i="3"/>
  <c r="D34" i="3"/>
  <c r="D111" i="3"/>
  <c r="C111" i="3"/>
  <c r="B111" i="3"/>
  <c r="B157" i="3"/>
  <c r="C157" i="3"/>
  <c r="D157" i="3"/>
  <c r="D24" i="3"/>
  <c r="C24" i="3"/>
  <c r="B24" i="3"/>
  <c r="B23" i="3"/>
  <c r="C23" i="3"/>
  <c r="D23" i="3"/>
  <c r="D39" i="3"/>
  <c r="C39" i="3"/>
  <c r="B39" i="3"/>
  <c r="B55" i="3"/>
  <c r="C55" i="3"/>
  <c r="D55" i="3"/>
  <c r="D57" i="3"/>
  <c r="C57" i="3"/>
  <c r="B57" i="3"/>
  <c r="B75" i="3"/>
  <c r="C75" i="3"/>
  <c r="D75" i="3"/>
  <c r="B188" i="3"/>
  <c r="C188" i="3"/>
  <c r="D188" i="3"/>
  <c r="B44" i="3"/>
  <c r="C44" i="3"/>
  <c r="D44" i="3"/>
  <c r="B177" i="3"/>
  <c r="C177" i="3"/>
  <c r="D177" i="3"/>
  <c r="B38" i="3"/>
  <c r="C38" i="3"/>
  <c r="D38" i="3"/>
  <c r="B10" i="3"/>
  <c r="C10" i="3"/>
  <c r="D10" i="3"/>
  <c r="D154" i="3"/>
  <c r="C154" i="3"/>
  <c r="B154" i="3"/>
  <c r="D30" i="3"/>
  <c r="C30" i="3"/>
  <c r="B30" i="3"/>
  <c r="D162" i="3"/>
  <c r="C162" i="3"/>
  <c r="B162" i="3"/>
  <c r="D43" i="3"/>
  <c r="C43" i="3"/>
  <c r="B43" i="3"/>
  <c r="B99" i="3"/>
  <c r="C99" i="3"/>
  <c r="D99" i="3"/>
  <c r="B141" i="3"/>
  <c r="C141" i="3"/>
  <c r="D141" i="3"/>
  <c r="B193" i="3"/>
  <c r="C193" i="3"/>
  <c r="D193" i="3"/>
  <c r="D204" i="3"/>
  <c r="C204" i="3"/>
  <c r="B204" i="3"/>
  <c r="D149" i="3"/>
  <c r="C149" i="3"/>
  <c r="B149" i="3"/>
  <c r="B128" i="3"/>
  <c r="C128" i="3"/>
  <c r="D128" i="3"/>
  <c r="D77" i="3"/>
  <c r="C77" i="3"/>
  <c r="B77" i="3"/>
  <c r="B143" i="3"/>
  <c r="C143" i="3"/>
  <c r="D143" i="3"/>
  <c r="D98" i="3"/>
  <c r="C98" i="3"/>
  <c r="B98" i="3"/>
  <c r="B74" i="3"/>
  <c r="C74" i="3"/>
  <c r="D74" i="3"/>
  <c r="B76" i="3"/>
  <c r="C76" i="3"/>
  <c r="D76" i="3"/>
  <c r="D14" i="3"/>
  <c r="C14" i="3"/>
  <c r="B14" i="3"/>
  <c r="D7" i="3"/>
  <c r="C7" i="3"/>
  <c r="B7" i="3"/>
  <c r="D134" i="3"/>
  <c r="C134" i="3"/>
  <c r="B134" i="3"/>
  <c r="B70" i="3"/>
  <c r="C70" i="3"/>
  <c r="D70" i="3"/>
  <c r="B16" i="3"/>
  <c r="C16" i="3"/>
  <c r="D16" i="3"/>
  <c r="D72" i="3"/>
  <c r="C72" i="3"/>
  <c r="B72" i="3"/>
  <c r="B51" i="3"/>
  <c r="C51" i="3"/>
  <c r="D51" i="3"/>
  <c r="B12" i="3"/>
  <c r="C12" i="3"/>
  <c r="D12" i="3"/>
  <c r="B71" i="3"/>
  <c r="C71" i="3"/>
  <c r="D71" i="3"/>
  <c r="B132" i="3"/>
  <c r="C132" i="3"/>
  <c r="D132" i="3"/>
  <c r="B191" i="3"/>
  <c r="C191" i="3"/>
  <c r="D191" i="3"/>
  <c r="B180" i="3"/>
  <c r="C180" i="3"/>
  <c r="D180" i="3"/>
  <c r="B60" i="3"/>
  <c r="C60" i="3"/>
  <c r="D60" i="3"/>
  <c r="B61" i="3"/>
  <c r="C61" i="3"/>
  <c r="D61" i="3"/>
  <c r="B160" i="3"/>
  <c r="C160" i="3"/>
  <c r="D160" i="3"/>
  <c r="B159" i="3"/>
  <c r="C159" i="3"/>
  <c r="D159" i="3"/>
  <c r="B6" i="3"/>
  <c r="C6" i="3"/>
  <c r="D6" i="3"/>
  <c r="B211" i="3"/>
  <c r="C211" i="3"/>
  <c r="D211" i="3"/>
  <c r="B41" i="3"/>
  <c r="C41" i="3"/>
  <c r="D41" i="3"/>
  <c r="B67" i="3"/>
  <c r="C67" i="3"/>
  <c r="D67" i="3"/>
  <c r="B115" i="3"/>
  <c r="C115" i="3"/>
  <c r="D115" i="3"/>
  <c r="B173" i="3"/>
  <c r="C173" i="3"/>
  <c r="D173" i="3"/>
  <c r="B45" i="3"/>
  <c r="C45" i="3"/>
  <c r="D45" i="3"/>
  <c r="B63" i="3"/>
  <c r="C63" i="3"/>
  <c r="D63" i="3"/>
  <c r="B93" i="3"/>
  <c r="C93" i="3"/>
  <c r="D93" i="3"/>
  <c r="B175" i="3"/>
  <c r="C175" i="3"/>
  <c r="D175" i="3"/>
  <c r="B104" i="3"/>
  <c r="C104" i="3"/>
  <c r="D104" i="3"/>
  <c r="B85" i="3"/>
  <c r="C85" i="3"/>
  <c r="D85" i="3"/>
  <c r="B25" i="3"/>
  <c r="C25" i="3"/>
  <c r="D25" i="3"/>
  <c r="B19" i="3"/>
  <c r="C19" i="3"/>
  <c r="D19" i="3"/>
  <c r="B142" i="3"/>
  <c r="C142" i="3"/>
  <c r="D142" i="3"/>
  <c r="B107" i="3"/>
  <c r="C107" i="3"/>
  <c r="D107" i="3"/>
  <c r="B97" i="3"/>
  <c r="C97" i="3"/>
  <c r="D97" i="3"/>
  <c r="B82" i="3"/>
  <c r="C82" i="3"/>
  <c r="D82" i="3"/>
  <c r="B178" i="3"/>
  <c r="C178" i="3"/>
  <c r="D178" i="3"/>
  <c r="B8" i="3"/>
  <c r="C8" i="3"/>
  <c r="D8" i="3"/>
  <c r="B2" i="3"/>
  <c r="B174" i="3"/>
  <c r="C174" i="3"/>
  <c r="D174" i="3"/>
</calcChain>
</file>

<file path=xl/sharedStrings.xml><?xml version="1.0" encoding="utf-8"?>
<sst xmlns="http://schemas.openxmlformats.org/spreadsheetml/2006/main" count="1742" uniqueCount="1517">
  <si>
    <t>Date</t>
  </si>
  <si>
    <t>Vol.</t>
  </si>
  <si>
    <t>61,76K</t>
  </si>
  <si>
    <t>87,10K</t>
  </si>
  <si>
    <t>113,78K</t>
  </si>
  <si>
    <t>48,83K</t>
  </si>
  <si>
    <t>107,06K</t>
  </si>
  <si>
    <t>79,55K</t>
  </si>
  <si>
    <t>84,23K</t>
  </si>
  <si>
    <t>70,23K</t>
  </si>
  <si>
    <t>64,96K</t>
  </si>
  <si>
    <t>65,09K</t>
  </si>
  <si>
    <t>36,77K</t>
  </si>
  <si>
    <t>161,74K</t>
  </si>
  <si>
    <t>76,70K</t>
  </si>
  <si>
    <t>84,21K</t>
  </si>
  <si>
    <t>28,30K</t>
  </si>
  <si>
    <t>40,93K</t>
  </si>
  <si>
    <t>38,27K</t>
  </si>
  <si>
    <t>64,48K</t>
  </si>
  <si>
    <t>69,62K</t>
  </si>
  <si>
    <t>40,23K</t>
  </si>
  <si>
    <t>178,56K</t>
  </si>
  <si>
    <t>67,02K</t>
  </si>
  <si>
    <t>95,84K</t>
  </si>
  <si>
    <t>98,55K</t>
  </si>
  <si>
    <t>46,41K</t>
  </si>
  <si>
    <t>38,39K</t>
  </si>
  <si>
    <t>81,66K</t>
  </si>
  <si>
    <t>36,92K</t>
  </si>
  <si>
    <t>157,72K</t>
  </si>
  <si>
    <t>93,60K</t>
  </si>
  <si>
    <t>112,79K</t>
  </si>
  <si>
    <t>103,17K</t>
  </si>
  <si>
    <t>78,02K</t>
  </si>
  <si>
    <t>80,05K</t>
  </si>
  <si>
    <t>243,08K</t>
  </si>
  <si>
    <t>180,94K</t>
  </si>
  <si>
    <t>118,75K</t>
  </si>
  <si>
    <t>134,44K</t>
  </si>
  <si>
    <t>130,42K</t>
  </si>
  <si>
    <t>140,59K</t>
  </si>
  <si>
    <t>91,52K</t>
  </si>
  <si>
    <t>91,10K</t>
  </si>
  <si>
    <t>89,72K</t>
  </si>
  <si>
    <t>114,11K</t>
  </si>
  <si>
    <t>140,27K</t>
  </si>
  <si>
    <t>77,15K</t>
  </si>
  <si>
    <t>101,01K</t>
  </si>
  <si>
    <t>102,17K</t>
  </si>
  <si>
    <t>77,13K</t>
  </si>
  <si>
    <t>33,22K</t>
  </si>
  <si>
    <t>106,62K</t>
  </si>
  <si>
    <t>90,18K</t>
  </si>
  <si>
    <t>145,92K</t>
  </si>
  <si>
    <t>277,91K</t>
  </si>
  <si>
    <t>67,06K</t>
  </si>
  <si>
    <t>83,62K</t>
  </si>
  <si>
    <t>88,88K</t>
  </si>
  <si>
    <t>74,26K</t>
  </si>
  <si>
    <t>109,35K</t>
  </si>
  <si>
    <t>89,22K</t>
  </si>
  <si>
    <t>72,49K</t>
  </si>
  <si>
    <t>87,40K</t>
  </si>
  <si>
    <t>40,78K</t>
  </si>
  <si>
    <t>71,79K</t>
  </si>
  <si>
    <t>62,05K</t>
  </si>
  <si>
    <t>94,20K</t>
  </si>
  <si>
    <t>46,21K</t>
  </si>
  <si>
    <t>83,91K</t>
  </si>
  <si>
    <t>162,49K</t>
  </si>
  <si>
    <t>101,77K</t>
  </si>
  <si>
    <t>115,04K</t>
  </si>
  <si>
    <t>95,95K</t>
  </si>
  <si>
    <t>67,91K</t>
  </si>
  <si>
    <t>61,57K</t>
  </si>
  <si>
    <t>52,09K</t>
  </si>
  <si>
    <t>80,66K</t>
  </si>
  <si>
    <t>51,06K</t>
  </si>
  <si>
    <t>71,26K</t>
  </si>
  <si>
    <t>56,91K</t>
  </si>
  <si>
    <t>102,96K</t>
  </si>
  <si>
    <t>41,33K</t>
  </si>
  <si>
    <t>52,76K</t>
  </si>
  <si>
    <t>65,48K</t>
  </si>
  <si>
    <t>96,88K</t>
  </si>
  <si>
    <t>72,51K</t>
  </si>
  <si>
    <t>59,90K</t>
  </si>
  <si>
    <t>130,26K</t>
  </si>
  <si>
    <t>35,85K</t>
  </si>
  <si>
    <t>63,01K</t>
  </si>
  <si>
    <t>57,98K</t>
  </si>
  <si>
    <t>63,61K</t>
  </si>
  <si>
    <t>52,48K</t>
  </si>
  <si>
    <t>42,06K</t>
  </si>
  <si>
    <t>199,20K</t>
  </si>
  <si>
    <t>64,06K</t>
  </si>
  <si>
    <t>122,14K</t>
  </si>
  <si>
    <t>69,43K</t>
  </si>
  <si>
    <t>114,73K</t>
  </si>
  <si>
    <t>65,66K</t>
  </si>
  <si>
    <t>96,39K</t>
  </si>
  <si>
    <t>65,40K</t>
  </si>
  <si>
    <t>50,15K</t>
  </si>
  <si>
    <t>218,07K</t>
  </si>
  <si>
    <t>124,01K</t>
  </si>
  <si>
    <t>227,11K</t>
  </si>
  <si>
    <t>161,35K</t>
  </si>
  <si>
    <t>70,48K</t>
  </si>
  <si>
    <t>37,32K</t>
  </si>
  <si>
    <t>64,16K</t>
  </si>
  <si>
    <t>96,12K</t>
  </si>
  <si>
    <t>64,65K</t>
  </si>
  <si>
    <t>94,32K</t>
  </si>
  <si>
    <t>58,13K</t>
  </si>
  <si>
    <t>55,88K</t>
  </si>
  <si>
    <t>52,39K</t>
  </si>
  <si>
    <t>95,94K</t>
  </si>
  <si>
    <t>39,44K</t>
  </si>
  <si>
    <t>62,92K</t>
  </si>
  <si>
    <t>38,29K</t>
  </si>
  <si>
    <t>100,42K</t>
  </si>
  <si>
    <t>73,84K</t>
  </si>
  <si>
    <t>75,41K</t>
  </si>
  <si>
    <t>31,35K</t>
  </si>
  <si>
    <t>65,74K</t>
  </si>
  <si>
    <t>33,35K</t>
  </si>
  <si>
    <t>34,37K</t>
  </si>
  <si>
    <t>94,80K</t>
  </si>
  <si>
    <t>70,06K</t>
  </si>
  <si>
    <t>102,23K</t>
  </si>
  <si>
    <t>78,69K</t>
  </si>
  <si>
    <t>61,88K</t>
  </si>
  <si>
    <t>43,16K</t>
  </si>
  <si>
    <t>73,24K</t>
  </si>
  <si>
    <t>44,23K</t>
  </si>
  <si>
    <t>27,45K</t>
  </si>
  <si>
    <t>83,46K</t>
  </si>
  <si>
    <t>58,96K</t>
  </si>
  <si>
    <t>89,65K</t>
  </si>
  <si>
    <t>160,92K</t>
  </si>
  <si>
    <t>85,28K</t>
  </si>
  <si>
    <t>59,11K</t>
  </si>
  <si>
    <t>59,13K</t>
  </si>
  <si>
    <t>51,28K</t>
  </si>
  <si>
    <t>110,49K</t>
  </si>
  <si>
    <t>79,14K</t>
  </si>
  <si>
    <t>48,55K</t>
  </si>
  <si>
    <t>60,29K</t>
  </si>
  <si>
    <t>65,72K</t>
  </si>
  <si>
    <t>98,96K</t>
  </si>
  <si>
    <t>33,72K</t>
  </si>
  <si>
    <t>87,49K</t>
  </si>
  <si>
    <t>75,60K</t>
  </si>
  <si>
    <t>74,01K</t>
  </si>
  <si>
    <t>121,08K</t>
  </si>
  <si>
    <t>51,66K</t>
  </si>
  <si>
    <t>130,71K</t>
  </si>
  <si>
    <t>92,61K</t>
  </si>
  <si>
    <t>115,30K</t>
  </si>
  <si>
    <t>94,70K</t>
  </si>
  <si>
    <t>53,66K</t>
  </si>
  <si>
    <t>103,10K</t>
  </si>
  <si>
    <t>95,24K</t>
  </si>
  <si>
    <t>122,55K</t>
  </si>
  <si>
    <t>121,47K</t>
  </si>
  <si>
    <t>112,15K</t>
  </si>
  <si>
    <t>99,80K</t>
  </si>
  <si>
    <t>59,10K</t>
  </si>
  <si>
    <t>59,95K</t>
  </si>
  <si>
    <t>73,15K</t>
  </si>
  <si>
    <t>57,59K</t>
  </si>
  <si>
    <t>77,32K</t>
  </si>
  <si>
    <t>63,93K</t>
  </si>
  <si>
    <t>146,69K</t>
  </si>
  <si>
    <t>106,61K</t>
  </si>
  <si>
    <t>143,99K</t>
  </si>
  <si>
    <t>331,53K</t>
  </si>
  <si>
    <t>127,12K</t>
  </si>
  <si>
    <t>110,87K</t>
  </si>
  <si>
    <t>78,76K</t>
  </si>
  <si>
    <t>125,77K</t>
  </si>
  <si>
    <t>134,35K</t>
  </si>
  <si>
    <t>168,11K</t>
  </si>
  <si>
    <t>145,31K</t>
  </si>
  <si>
    <t>63,62K</t>
  </si>
  <si>
    <t>56,42K</t>
  </si>
  <si>
    <t>326,10K</t>
  </si>
  <si>
    <t>145,04K</t>
  </si>
  <si>
    <t>134,94K</t>
  </si>
  <si>
    <t>146,91K</t>
  </si>
  <si>
    <t>131,07K</t>
  </si>
  <si>
    <t>273,28K</t>
  </si>
  <si>
    <t>255,37K</t>
  </si>
  <si>
    <t>137,99K</t>
  </si>
  <si>
    <t>100,71K</t>
  </si>
  <si>
    <t>246,49K</t>
  </si>
  <si>
    <t>305,20K</t>
  </si>
  <si>
    <t>178,68K</t>
  </si>
  <si>
    <t>150,64K</t>
  </si>
  <si>
    <t>124,86K</t>
  </si>
  <si>
    <t>51,30K</t>
  </si>
  <si>
    <t>95,43K</t>
  </si>
  <si>
    <t>142,02K</t>
  </si>
  <si>
    <t>309,09K</t>
  </si>
  <si>
    <t>208,60K</t>
  </si>
  <si>
    <t>98,37K</t>
  </si>
  <si>
    <t>124,47K</t>
  </si>
  <si>
    <t>228,54K</t>
  </si>
  <si>
    <t>Price_MSCI</t>
  </si>
  <si>
    <t>Index_MSCI</t>
  </si>
  <si>
    <t>77.42</t>
  </si>
  <si>
    <t>74.91</t>
  </si>
  <si>
    <t>84.65</t>
  </si>
  <si>
    <t>Index_France equity</t>
  </si>
  <si>
    <t>Index_Gold</t>
  </si>
  <si>
    <t>Price</t>
  </si>
  <si>
    <t>Open</t>
  </si>
  <si>
    <t>High</t>
  </si>
  <si>
    <t>Low</t>
  </si>
  <si>
    <t>Change %</t>
  </si>
  <si>
    <t>87.76</t>
  </si>
  <si>
    <t>90.37</t>
  </si>
  <si>
    <t>90.60</t>
  </si>
  <si>
    <t>85.44</t>
  </si>
  <si>
    <t>139.66K</t>
  </si>
  <si>
    <t>-1.76%</t>
  </si>
  <si>
    <t>89.33</t>
  </si>
  <si>
    <t>79.91</t>
  </si>
  <si>
    <t>89.66</t>
  </si>
  <si>
    <t>79.58</t>
  </si>
  <si>
    <t>148.39K</t>
  </si>
  <si>
    <t>11.98%</t>
  </si>
  <si>
    <t>79.77</t>
  </si>
  <si>
    <t>83.34</t>
  </si>
  <si>
    <t>84.91</t>
  </si>
  <si>
    <t>196.79K</t>
  </si>
  <si>
    <t>-3.48%</t>
  </si>
  <si>
    <t>82.65</t>
  </si>
  <si>
    <t>80.79</t>
  </si>
  <si>
    <t>88.01</t>
  </si>
  <si>
    <t>79.04</t>
  </si>
  <si>
    <t>208.90K</t>
  </si>
  <si>
    <t>7.28%</t>
  </si>
  <si>
    <t>77.04</t>
  </si>
  <si>
    <t>78.07</t>
  </si>
  <si>
    <t>78.61</t>
  </si>
  <si>
    <t>73.91</t>
  </si>
  <si>
    <t>160.42K</t>
  </si>
  <si>
    <t>-0.05%</t>
  </si>
  <si>
    <t>77.08</t>
  </si>
  <si>
    <t>77.29</t>
  </si>
  <si>
    <t>78.67</t>
  </si>
  <si>
    <t>71.14</t>
  </si>
  <si>
    <t>289.00K</t>
  </si>
  <si>
    <t>-2.52%</t>
  </si>
  <si>
    <t>79.07</t>
  </si>
  <si>
    <t>87.10</t>
  </si>
  <si>
    <t>74.04</t>
  </si>
  <si>
    <t>476.61K</t>
  </si>
  <si>
    <t>-6.08%</t>
  </si>
  <si>
    <t>84.19</t>
  </si>
  <si>
    <t>81.42</t>
  </si>
  <si>
    <t>91.32</t>
  </si>
  <si>
    <t>299.97K</t>
  </si>
  <si>
    <t>5.03%</t>
  </si>
  <si>
    <t>80.16</t>
  </si>
  <si>
    <t>83.11</t>
  </si>
  <si>
    <t>85.23</t>
  </si>
  <si>
    <t>79.38</t>
  </si>
  <si>
    <t>256.92K</t>
  </si>
  <si>
    <t>-1.54%</t>
  </si>
  <si>
    <t>81.41</t>
  </si>
  <si>
    <t>80.17</t>
  </si>
  <si>
    <t>82.27</t>
  </si>
  <si>
    <t>77.18</t>
  </si>
  <si>
    <t>229.99K</t>
  </si>
  <si>
    <t>4.24%</t>
  </si>
  <si>
    <t>78.10</t>
  </si>
  <si>
    <t>76.74</t>
  </si>
  <si>
    <t>78.98</t>
  </si>
  <si>
    <t>75.79</t>
  </si>
  <si>
    <t>161.01K</t>
  </si>
  <si>
    <t>4.80%</t>
  </si>
  <si>
    <t>74.52</t>
  </si>
  <si>
    <t>72.97</t>
  </si>
  <si>
    <t>70.39</t>
  </si>
  <si>
    <t>103.40K</t>
  </si>
  <si>
    <t>1.39%</t>
  </si>
  <si>
    <t>73.50</t>
  </si>
  <si>
    <t>69.26</t>
  </si>
  <si>
    <t>74.25</t>
  </si>
  <si>
    <t>139.83K</t>
  </si>
  <si>
    <t>6.65%</t>
  </si>
  <si>
    <t>68.92</t>
  </si>
  <si>
    <t>67.49</t>
  </si>
  <si>
    <t>69.54</t>
  </si>
  <si>
    <t>66.47</t>
  </si>
  <si>
    <t>151.70K</t>
  </si>
  <si>
    <t>5.13%</t>
  </si>
  <si>
    <t>65.56</t>
  </si>
  <si>
    <t>63.12</t>
  </si>
  <si>
    <t>62.87</t>
  </si>
  <si>
    <t>64.77K</t>
  </si>
  <si>
    <t>3.68%</t>
  </si>
  <si>
    <t>63.23</t>
  </si>
  <si>
    <t>61.19</t>
  </si>
  <si>
    <t>63.28</t>
  </si>
  <si>
    <t>59.75</t>
  </si>
  <si>
    <t>46.33K</t>
  </si>
  <si>
    <t>3.38%</t>
  </si>
  <si>
    <t>61.16</t>
  </si>
  <si>
    <t>60.53</t>
  </si>
  <si>
    <t>61.99</t>
  </si>
  <si>
    <t>59.85</t>
  </si>
  <si>
    <t>60.84K</t>
  </si>
  <si>
    <t>-0.79%</t>
  </si>
  <si>
    <t>61.65</t>
  </si>
  <si>
    <t>55.16</t>
  </si>
  <si>
    <t>62.33</t>
  </si>
  <si>
    <t>74.50K</t>
  </si>
  <si>
    <t>12.36%</t>
  </si>
  <si>
    <t>54.87</t>
  </si>
  <si>
    <t>55.72</t>
  </si>
  <si>
    <t>55.99</t>
  </si>
  <si>
    <t>53.77</t>
  </si>
  <si>
    <t>25.97K</t>
  </si>
  <si>
    <t>-0.65%</t>
  </si>
  <si>
    <t>55.23</t>
  </si>
  <si>
    <t>54.04</t>
  </si>
  <si>
    <t>56.81</t>
  </si>
  <si>
    <t>53.82</t>
  </si>
  <si>
    <t>24.95K</t>
  </si>
  <si>
    <t>3.54%</t>
  </si>
  <si>
    <t>53.34</t>
  </si>
  <si>
    <t>54.86</t>
  </si>
  <si>
    <t>55.49</t>
  </si>
  <si>
    <t>52.88</t>
  </si>
  <si>
    <t>31.01K</t>
  </si>
  <si>
    <t>-2.41%</t>
  </si>
  <si>
    <t>54.66</t>
  </si>
  <si>
    <t>53.90</t>
  </si>
  <si>
    <t>55.61</t>
  </si>
  <si>
    <t>52.21</t>
  </si>
  <si>
    <t>43.99K</t>
  </si>
  <si>
    <t>0.29%</t>
  </si>
  <si>
    <t>54.50</t>
  </si>
  <si>
    <t>52.99</t>
  </si>
  <si>
    <t>54.95</t>
  </si>
  <si>
    <t>52.63</t>
  </si>
  <si>
    <t>52.96K</t>
  </si>
  <si>
    <t>4.49%</t>
  </si>
  <si>
    <t>52.16</t>
  </si>
  <si>
    <t>57.07</t>
  </si>
  <si>
    <t>57.49</t>
  </si>
  <si>
    <t>52.02</t>
  </si>
  <si>
    <t>39.52K</t>
  </si>
  <si>
    <t>-7.21%</t>
  </si>
  <si>
    <t>56.21</t>
  </si>
  <si>
    <t>57.24</t>
  </si>
  <si>
    <t>57.34</t>
  </si>
  <si>
    <t>55.62</t>
  </si>
  <si>
    <t>71.12K</t>
  </si>
  <si>
    <t>-2.58%</t>
  </si>
  <si>
    <t>57.70</t>
  </si>
  <si>
    <t>56.00</t>
  </si>
  <si>
    <t>58.27</t>
  </si>
  <si>
    <t>54.81</t>
  </si>
  <si>
    <t>35.45K</t>
  </si>
  <si>
    <t>2.32%</t>
  </si>
  <si>
    <t>56.39</t>
  </si>
  <si>
    <t>55.51</t>
  </si>
  <si>
    <t>58.30</t>
  </si>
  <si>
    <t>55.01</t>
  </si>
  <si>
    <t>62.52K</t>
  </si>
  <si>
    <t>5.07%</t>
  </si>
  <si>
    <t>53.67</t>
  </si>
  <si>
    <t>54.28</t>
  </si>
  <si>
    <t>54.68</t>
  </si>
  <si>
    <t>52.81</t>
  </si>
  <si>
    <t>49.95K</t>
  </si>
  <si>
    <t>-1.38%</t>
  </si>
  <si>
    <t>54.42</t>
  </si>
  <si>
    <t>50.70</t>
  </si>
  <si>
    <t>54.85</t>
  </si>
  <si>
    <t>50.40</t>
  </si>
  <si>
    <t>55.72K</t>
  </si>
  <si>
    <t>9.05%</t>
  </si>
  <si>
    <t>49.90</t>
  </si>
  <si>
    <t>54.00</t>
  </si>
  <si>
    <t>54.09</t>
  </si>
  <si>
    <t>48.17</t>
  </si>
  <si>
    <t>88.40K</t>
  </si>
  <si>
    <t>-8.46%</t>
  </si>
  <si>
    <t>54.52</t>
  </si>
  <si>
    <t>51.24</t>
  </si>
  <si>
    <t>54.58</t>
  </si>
  <si>
    <t>69.04K</t>
  </si>
  <si>
    <t>7.92%</t>
  </si>
  <si>
    <t>50.52</t>
  </si>
  <si>
    <t>52.03</t>
  </si>
  <si>
    <t>52.70</t>
  </si>
  <si>
    <t>73.34K</t>
  </si>
  <si>
    <t>-2.75%</t>
  </si>
  <si>
    <t>51.95</t>
  </si>
  <si>
    <t>57.14</t>
  </si>
  <si>
    <t>57.33</t>
  </si>
  <si>
    <t>50.79</t>
  </si>
  <si>
    <t>113.79K</t>
  </si>
  <si>
    <t>-5.92%</t>
  </si>
  <si>
    <t>55.22</t>
  </si>
  <si>
    <t>54.06</t>
  </si>
  <si>
    <t>58.00</t>
  </si>
  <si>
    <t>52.80</t>
  </si>
  <si>
    <t>121.21K</t>
  </si>
  <si>
    <t>3.52%</t>
  </si>
  <si>
    <t>44.00</t>
  </si>
  <si>
    <t>54.15</t>
  </si>
  <si>
    <t>42.64</t>
  </si>
  <si>
    <t>124.48K</t>
  </si>
  <si>
    <t>16.02%</t>
  </si>
  <si>
    <t>45.97</t>
  </si>
  <si>
    <t>51.25</t>
  </si>
  <si>
    <t>51.61</t>
  </si>
  <si>
    <t>45.14</t>
  </si>
  <si>
    <t>167.97K</t>
  </si>
  <si>
    <t>-9.57%</t>
  </si>
  <si>
    <t>50.84</t>
  </si>
  <si>
    <t>49.04</t>
  </si>
  <si>
    <t>51.97</t>
  </si>
  <si>
    <t>48.62</t>
  </si>
  <si>
    <t>62.74K</t>
  </si>
  <si>
    <t>4.23%</t>
  </si>
  <si>
    <t>48.78</t>
  </si>
  <si>
    <t>47.22</t>
  </si>
  <si>
    <t>49.69</t>
  </si>
  <si>
    <t>46.96</t>
  </si>
  <si>
    <t>71.30K</t>
  </si>
  <si>
    <t>2.91%</t>
  </si>
  <si>
    <t>47.40</t>
  </si>
  <si>
    <t>45.19</t>
  </si>
  <si>
    <t>47.58</t>
  </si>
  <si>
    <t>43.77</t>
  </si>
  <si>
    <t>81.68K</t>
  </si>
  <si>
    <t>5.75%</t>
  </si>
  <si>
    <t>44.82</t>
  </si>
  <si>
    <t>44.72</t>
  </si>
  <si>
    <t>45.77</t>
  </si>
  <si>
    <t>43.74</t>
  </si>
  <si>
    <t>53.21K</t>
  </si>
  <si>
    <t>2.04%</t>
  </si>
  <si>
    <t>43.92</t>
  </si>
  <si>
    <t>46.24</t>
  </si>
  <si>
    <t>46.65</t>
  </si>
  <si>
    <t>43.18</t>
  </si>
  <si>
    <t>60.17K</t>
  </si>
  <si>
    <t>-6.14%</t>
  </si>
  <si>
    <t>46.80</t>
  </si>
  <si>
    <t>46.86</t>
  </si>
  <si>
    <t>46.31</t>
  </si>
  <si>
    <t>50.15K</t>
  </si>
  <si>
    <t>-0.11%</t>
  </si>
  <si>
    <t>46.85</t>
  </si>
  <si>
    <t>48.46</t>
  </si>
  <si>
    <t>49.24</t>
  </si>
  <si>
    <t>52.53K</t>
  </si>
  <si>
    <t>-1.46%</t>
  </si>
  <si>
    <t>47.54</t>
  </si>
  <si>
    <t>45.15</t>
  </si>
  <si>
    <t>48.19</t>
  </si>
  <si>
    <t>44.60</t>
  </si>
  <si>
    <t>62.15K</t>
  </si>
  <si>
    <t>4.04%</t>
  </si>
  <si>
    <t>45.70</t>
  </si>
  <si>
    <t>42.25</t>
  </si>
  <si>
    <t>41.72</t>
  </si>
  <si>
    <t>32.37K</t>
  </si>
  <si>
    <t>6.40%</t>
  </si>
  <si>
    <t>42.95</t>
  </si>
  <si>
    <t>41.81</t>
  </si>
  <si>
    <t>43.39</t>
  </si>
  <si>
    <t>41.51</t>
  </si>
  <si>
    <t>16.16K</t>
  </si>
  <si>
    <t>3.74%</t>
  </si>
  <si>
    <t>41.40</t>
  </si>
  <si>
    <t>41.27</t>
  </si>
  <si>
    <t>42.76</t>
  </si>
  <si>
    <t>40.42</t>
  </si>
  <si>
    <t>12.57K</t>
  </si>
  <si>
    <t>0.33%</t>
  </si>
  <si>
    <t>41.26</t>
  </si>
  <si>
    <t>38.74</t>
  </si>
  <si>
    <t>41.45</t>
  </si>
  <si>
    <t>38.15</t>
  </si>
  <si>
    <t>21.68K</t>
  </si>
  <si>
    <t>5.90%</t>
  </si>
  <si>
    <t>38.97</t>
  </si>
  <si>
    <t>37.54</t>
  </si>
  <si>
    <t>39.69</t>
  </si>
  <si>
    <t>37.24</t>
  </si>
  <si>
    <t>8.32K</t>
  </si>
  <si>
    <t>3.70%</t>
  </si>
  <si>
    <t>37.58</t>
  </si>
  <si>
    <t>38.56</t>
  </si>
  <si>
    <t>13.42K</t>
  </si>
  <si>
    <t>-1.21%</t>
  </si>
  <si>
    <t>38.03</t>
  </si>
  <si>
    <t>40.15</t>
  </si>
  <si>
    <t>37.10</t>
  </si>
  <si>
    <t>15.57K</t>
  </si>
  <si>
    <t>-4.76%</t>
  </si>
  <si>
    <t>39.94</t>
  </si>
  <si>
    <t>40.16</t>
  </si>
  <si>
    <t>42.38</t>
  </si>
  <si>
    <t>39.41</t>
  </si>
  <si>
    <t>15.19K</t>
  </si>
  <si>
    <t>0.15%</t>
  </si>
  <si>
    <t>39.88</t>
  </si>
  <si>
    <t>39.51</t>
  </si>
  <si>
    <t>41.19</t>
  </si>
  <si>
    <t>39.31</t>
  </si>
  <si>
    <t>15.62K</t>
  </si>
  <si>
    <t>-1.01%</t>
  </si>
  <si>
    <t>40.28</t>
  </si>
  <si>
    <t>41.17</t>
  </si>
  <si>
    <t>39.43</t>
  </si>
  <si>
    <t>11.92K</t>
  </si>
  <si>
    <t>-3.22%</t>
  </si>
  <si>
    <t>41.62</t>
  </si>
  <si>
    <t>38.16</t>
  </si>
  <si>
    <t>42.67</t>
  </si>
  <si>
    <t>18.66K</t>
  </si>
  <si>
    <t>9.63%</t>
  </si>
  <si>
    <t>37.97</t>
  </si>
  <si>
    <t>41.03</t>
  </si>
  <si>
    <t>36.91</t>
  </si>
  <si>
    <t>41.06K</t>
  </si>
  <si>
    <t>-7.84%</t>
  </si>
  <si>
    <t>41.30</t>
  </si>
  <si>
    <t>41.57</t>
  </si>
  <si>
    <t>39.40</t>
  </si>
  <si>
    <t>21.56K</t>
  </si>
  <si>
    <t>-1.15%</t>
  </si>
  <si>
    <t>41.67</t>
  </si>
  <si>
    <t>43.22</t>
  </si>
  <si>
    <t>43.95</t>
  </si>
  <si>
    <t>43.63K</t>
  </si>
  <si>
    <t>-4.80%</t>
  </si>
  <si>
    <t>43.78</t>
  </si>
  <si>
    <t>45.17</t>
  </si>
  <si>
    <t>46.43</t>
  </si>
  <si>
    <t>43.28</t>
  </si>
  <si>
    <t>53.97K</t>
  </si>
  <si>
    <t>-1.97%</t>
  </si>
  <si>
    <t>44.65</t>
  </si>
  <si>
    <t>40.89</t>
  </si>
  <si>
    <t>40.56</t>
  </si>
  <si>
    <t>29.42K</t>
  </si>
  <si>
    <t>9.21%</t>
  </si>
  <si>
    <t>41.29</t>
  </si>
  <si>
    <t>38.69</t>
  </si>
  <si>
    <t>13.01K</t>
  </si>
  <si>
    <t>0.53%</t>
  </si>
  <si>
    <t>40.67</t>
  </si>
  <si>
    <t>40.51</t>
  </si>
  <si>
    <t>40.84</t>
  </si>
  <si>
    <t>39.32</t>
  </si>
  <si>
    <t>23.80K</t>
  </si>
  <si>
    <t>0.35%</t>
  </si>
  <si>
    <t>40.53</t>
  </si>
  <si>
    <t>40.44</t>
  </si>
  <si>
    <t>42.00</t>
  </si>
  <si>
    <t>40.17</t>
  </si>
  <si>
    <t>34.45K</t>
  </si>
  <si>
    <t>0.88%</t>
  </si>
  <si>
    <t>40.18</t>
  </si>
  <si>
    <t>40.29</t>
  </si>
  <si>
    <t>40.40</t>
  </si>
  <si>
    <t>22.55K</t>
  </si>
  <si>
    <t>0.16%</t>
  </si>
  <si>
    <t>40.12</t>
  </si>
  <si>
    <t>36.76</t>
  </si>
  <si>
    <t>36.61</t>
  </si>
  <si>
    <t>20.83K</t>
  </si>
  <si>
    <t>7.87%</t>
  </si>
  <si>
    <t>37.19</t>
  </si>
  <si>
    <t>38.76</t>
  </si>
  <si>
    <t>39.13</t>
  </si>
  <si>
    <t>36.71</t>
  </si>
  <si>
    <t>27.33K</t>
  </si>
  <si>
    <t>-4.74%</t>
  </si>
  <si>
    <t>39.04</t>
  </si>
  <si>
    <t>39.56</t>
  </si>
  <si>
    <t>39.89</t>
  </si>
  <si>
    <t>38.33</t>
  </si>
  <si>
    <t>-1.30%</t>
  </si>
  <si>
    <t>39.19</t>
  </si>
  <si>
    <t>40.58</t>
  </si>
  <si>
    <t>15.76K</t>
  </si>
  <si>
    <t>1.36%</t>
  </si>
  <si>
    <t>39.03</t>
  </si>
  <si>
    <t>36.85</t>
  </si>
  <si>
    <t>39.37</t>
  </si>
  <si>
    <t>36.80</t>
  </si>
  <si>
    <t>17.03K</t>
  </si>
  <si>
    <t>7.01%</t>
  </si>
  <si>
    <t>36.47</t>
  </si>
  <si>
    <t>35.92</t>
  </si>
  <si>
    <t>36.89</t>
  </si>
  <si>
    <t>34.01</t>
  </si>
  <si>
    <t>12.34K</t>
  </si>
  <si>
    <t>-0.45%</t>
  </si>
  <si>
    <t>36.63</t>
  </si>
  <si>
    <t>36.81</t>
  </si>
  <si>
    <t>39.21</t>
  </si>
  <si>
    <t>36.33</t>
  </si>
  <si>
    <t>20.34K</t>
  </si>
  <si>
    <t>-0.92%</t>
  </si>
  <si>
    <t>36.97</t>
  </si>
  <si>
    <t>38.58</t>
  </si>
  <si>
    <t>36.20</t>
  </si>
  <si>
    <t>18.21K</t>
  </si>
  <si>
    <t>-1.27%</t>
  </si>
  <si>
    <t>37.45</t>
  </si>
  <si>
    <t>38.19</t>
  </si>
  <si>
    <t>39.47</t>
  </si>
  <si>
    <t>36.86</t>
  </si>
  <si>
    <t>19.67K</t>
  </si>
  <si>
    <t>-1.99%</t>
  </si>
  <si>
    <t>38.21</t>
  </si>
  <si>
    <t>36.42</t>
  </si>
  <si>
    <t>38.30</t>
  </si>
  <si>
    <t>36.19</t>
  </si>
  <si>
    <t>14.89K</t>
  </si>
  <si>
    <t>3.90%</t>
  </si>
  <si>
    <t>36.78</t>
  </si>
  <si>
    <t>34.64</t>
  </si>
  <si>
    <t>34.22</t>
  </si>
  <si>
    <t>10.64K</t>
  </si>
  <si>
    <t>5.77%</t>
  </si>
  <si>
    <t>34.77</t>
  </si>
  <si>
    <t>34.31</t>
  </si>
  <si>
    <t>35.22</t>
  </si>
  <si>
    <t>34.15</t>
  </si>
  <si>
    <t>9.84K</t>
  </si>
  <si>
    <t>1.34%</t>
  </si>
  <si>
    <t>33.12</t>
  </si>
  <si>
    <t>35.30</t>
  </si>
  <si>
    <t>32.80</t>
  </si>
  <si>
    <t>14.27K</t>
  </si>
  <si>
    <t>3.69%</t>
  </si>
  <si>
    <t>33.09</t>
  </si>
  <si>
    <t>33.67</t>
  </si>
  <si>
    <t>33.94</t>
  </si>
  <si>
    <t>33.07</t>
  </si>
  <si>
    <t>10.37K</t>
  </si>
  <si>
    <t>-1.49%</t>
  </si>
  <si>
    <t>33.59</t>
  </si>
  <si>
    <t>35.13</t>
  </si>
  <si>
    <t>35.56</t>
  </si>
  <si>
    <t>10.05K</t>
  </si>
  <si>
    <t>-3.55%</t>
  </si>
  <si>
    <t>34.83</t>
  </si>
  <si>
    <t>35.50</t>
  </si>
  <si>
    <t>35.83</t>
  </si>
  <si>
    <t>34.75</t>
  </si>
  <si>
    <t>15.87K</t>
  </si>
  <si>
    <t>-0.09%</t>
  </si>
  <si>
    <t>34.85</t>
  </si>
  <si>
    <t>36.83</t>
  </si>
  <si>
    <t>36.90</t>
  </si>
  <si>
    <t>34.62</t>
  </si>
  <si>
    <t>14.30K</t>
  </si>
  <si>
    <t>-3.57%</t>
  </si>
  <si>
    <t>36.15</t>
  </si>
  <si>
    <t>35.12</t>
  </si>
  <si>
    <t>34.70</t>
  </si>
  <si>
    <t>4.67K</t>
  </si>
  <si>
    <t>1.90%</t>
  </si>
  <si>
    <t>35.47</t>
  </si>
  <si>
    <t>33.76</t>
  </si>
  <si>
    <t>36.03</t>
  </si>
  <si>
    <t>33.56</t>
  </si>
  <si>
    <t>15.77K</t>
  </si>
  <si>
    <t>6.76%</t>
  </si>
  <si>
    <t>33.22</t>
  </si>
  <si>
    <t>34.53</t>
  </si>
  <si>
    <t>35.18</t>
  </si>
  <si>
    <t>33.02</t>
  </si>
  <si>
    <t>15.13K</t>
  </si>
  <si>
    <t>-4.58%</t>
  </si>
  <si>
    <t>34.82</t>
  </si>
  <si>
    <t>33.60</t>
  </si>
  <si>
    <t>35.00</t>
  </si>
  <si>
    <t>32.14</t>
  </si>
  <si>
    <t>49.96K</t>
  </si>
  <si>
    <t>1.63%</t>
  </si>
  <si>
    <t>34.26</t>
  </si>
  <si>
    <t>34.67</t>
  </si>
  <si>
    <t>32.69</t>
  </si>
  <si>
    <t>20.71K</t>
  </si>
  <si>
    <t>-2.00%</t>
  </si>
  <si>
    <t>34.96</t>
  </si>
  <si>
    <t>35.89</t>
  </si>
  <si>
    <t>32.55</t>
  </si>
  <si>
    <t>35.50K</t>
  </si>
  <si>
    <t>5.02%</t>
  </si>
  <si>
    <t>33.29</t>
  </si>
  <si>
    <t>32.01</t>
  </si>
  <si>
    <t>33.41</t>
  </si>
  <si>
    <t>31.84</t>
  </si>
  <si>
    <t>13.36K</t>
  </si>
  <si>
    <t>6.87%</t>
  </si>
  <si>
    <t>31.15</t>
  </si>
  <si>
    <t>29.15</t>
  </si>
  <si>
    <t>31.29</t>
  </si>
  <si>
    <t>8.75K</t>
  </si>
  <si>
    <t>6.44%</t>
  </si>
  <si>
    <t>29.26</t>
  </si>
  <si>
    <t>29.05</t>
  </si>
  <si>
    <t>29.86</t>
  </si>
  <si>
    <t>28.18</t>
  </si>
  <si>
    <t>17.58K</t>
  </si>
  <si>
    <t>0.65%</t>
  </si>
  <si>
    <t>29.08</t>
  </si>
  <si>
    <t>28.89</t>
  </si>
  <si>
    <t>29.85</t>
  </si>
  <si>
    <t>28.63</t>
  </si>
  <si>
    <t>23.73K</t>
  </si>
  <si>
    <t>0.66%</t>
  </si>
  <si>
    <t>26.92</t>
  </si>
  <si>
    <t>29.40</t>
  </si>
  <si>
    <t>26.76</t>
  </si>
  <si>
    <t>31.32K</t>
  </si>
  <si>
    <t>10.48%</t>
  </si>
  <si>
    <t>26.15</t>
  </si>
  <si>
    <t>25.59</t>
  </si>
  <si>
    <t>24.88</t>
  </si>
  <si>
    <t>16.51K</t>
  </si>
  <si>
    <t>2.55%</t>
  </si>
  <si>
    <t>25.50</t>
  </si>
  <si>
    <t>26.33</t>
  </si>
  <si>
    <t>26.38</t>
  </si>
  <si>
    <t>25.01</t>
  </si>
  <si>
    <t>7.61K</t>
  </si>
  <si>
    <t>-2.09%</t>
  </si>
  <si>
    <t>26.04</t>
  </si>
  <si>
    <t>25.94</t>
  </si>
  <si>
    <t>25.00</t>
  </si>
  <si>
    <t>7.19K</t>
  </si>
  <si>
    <t>0.58%</t>
  </si>
  <si>
    <t>25.89</t>
  </si>
  <si>
    <t>26.97</t>
  </si>
  <si>
    <t>25.70</t>
  </si>
  <si>
    <t>41.61K</t>
  </si>
  <si>
    <t>-3.40%</t>
  </si>
  <si>
    <t>26.80</t>
  </si>
  <si>
    <t>27.17</t>
  </si>
  <si>
    <t>28.05</t>
  </si>
  <si>
    <t>26.78</t>
  </si>
  <si>
    <t>6.38K</t>
  </si>
  <si>
    <t>-0.13%</t>
  </si>
  <si>
    <t>26.83</t>
  </si>
  <si>
    <t>25.64</t>
  </si>
  <si>
    <t>27.23</t>
  </si>
  <si>
    <t>29.59K</t>
  </si>
  <si>
    <t>4.31%</t>
  </si>
  <si>
    <t>25.73</t>
  </si>
  <si>
    <t>27.96</t>
  </si>
  <si>
    <t>77.80K</t>
  </si>
  <si>
    <t>-7.83%</t>
  </si>
  <si>
    <t>27.91</t>
  </si>
  <si>
    <t>27.50</t>
  </si>
  <si>
    <t>26.50</t>
  </si>
  <si>
    <t>2.84K</t>
  </si>
  <si>
    <t>-0.71%</t>
  </si>
  <si>
    <t>28.11</t>
  </si>
  <si>
    <t>29.33</t>
  </si>
  <si>
    <t>29.38</t>
  </si>
  <si>
    <t>27.52</t>
  </si>
  <si>
    <t>6.15K</t>
  </si>
  <si>
    <t>-4.18%</t>
  </si>
  <si>
    <t>30.08</t>
  </si>
  <si>
    <t>30.43</t>
  </si>
  <si>
    <t>29.24</t>
  </si>
  <si>
    <t>12.91K</t>
  </si>
  <si>
    <t>-3.36%</t>
  </si>
  <si>
    <t>30.35</t>
  </si>
  <si>
    <t>29.45</t>
  </si>
  <si>
    <t>30.51</t>
  </si>
  <si>
    <t>3.61K</t>
  </si>
  <si>
    <t>3.34%</t>
  </si>
  <si>
    <t>27.82</t>
  </si>
  <si>
    <t>29.95</t>
  </si>
  <si>
    <t>27.12</t>
  </si>
  <si>
    <t>2.35%</t>
  </si>
  <si>
    <t>28.70</t>
  </si>
  <si>
    <t>29.50</t>
  </si>
  <si>
    <t>29.71</t>
  </si>
  <si>
    <t>28.32</t>
  </si>
  <si>
    <t>29.55K</t>
  </si>
  <si>
    <t>-2.51%</t>
  </si>
  <si>
    <t>29.44</t>
  </si>
  <si>
    <t>29.60</t>
  </si>
  <si>
    <t>4.87K</t>
  </si>
  <si>
    <t>10.39%</t>
  </si>
  <si>
    <t>26.67</t>
  </si>
  <si>
    <t>26.05</t>
  </si>
  <si>
    <t>27.25</t>
  </si>
  <si>
    <t>25.79</t>
  </si>
  <si>
    <t>41.18K</t>
  </si>
  <si>
    <t>1.91%</t>
  </si>
  <si>
    <t>26.17</t>
  </si>
  <si>
    <t>25.44</t>
  </si>
  <si>
    <t>26.58</t>
  </si>
  <si>
    <t>25.24</t>
  </si>
  <si>
    <t>2.47K</t>
  </si>
  <si>
    <t>2.83%</t>
  </si>
  <si>
    <t>25.45</t>
  </si>
  <si>
    <t>27.76</t>
  </si>
  <si>
    <t>8.84K</t>
  </si>
  <si>
    <t>-7.76%</t>
  </si>
  <si>
    <t>27.59</t>
  </si>
  <si>
    <t>27.43</t>
  </si>
  <si>
    <t>26.30</t>
  </si>
  <si>
    <t>4.24K</t>
  </si>
  <si>
    <t>2.53%</t>
  </si>
  <si>
    <t>26.91</t>
  </si>
  <si>
    <t>27.58</t>
  </si>
  <si>
    <t>27.63</t>
  </si>
  <si>
    <t>26.75</t>
  </si>
  <si>
    <t>2.30K</t>
  </si>
  <si>
    <t>-4.86%</t>
  </si>
  <si>
    <t>28.28</t>
  </si>
  <si>
    <t>28.31</t>
  </si>
  <si>
    <t>27.05</t>
  </si>
  <si>
    <t>12.49K</t>
  </si>
  <si>
    <t>2.67%</t>
  </si>
  <si>
    <t>27.55</t>
  </si>
  <si>
    <t>25.51</t>
  </si>
  <si>
    <t>4.93K</t>
  </si>
  <si>
    <t>10.93%</t>
  </si>
  <si>
    <t>24.83</t>
  </si>
  <si>
    <t>24.64</t>
  </si>
  <si>
    <t>23.73</t>
  </si>
  <si>
    <t>3.38K</t>
  </si>
  <si>
    <t>24.70</t>
  </si>
  <si>
    <t>26.55</t>
  </si>
  <si>
    <t>26.60</t>
  </si>
  <si>
    <t>24.57</t>
  </si>
  <si>
    <t>5.14K</t>
  </si>
  <si>
    <t>-7.42%</t>
  </si>
  <si>
    <t>26.68</t>
  </si>
  <si>
    <t>27.30</t>
  </si>
  <si>
    <t>26.34</t>
  </si>
  <si>
    <t>0.90K</t>
  </si>
  <si>
    <t>-1.53%</t>
  </si>
  <si>
    <t>27.10</t>
  </si>
  <si>
    <t>26.08</t>
  </si>
  <si>
    <t>27.19</t>
  </si>
  <si>
    <t>25.91</t>
  </si>
  <si>
    <t>0.70K</t>
  </si>
  <si>
    <t>4.35%</t>
  </si>
  <si>
    <t>25.97</t>
  </si>
  <si>
    <t>26.43</t>
  </si>
  <si>
    <t>26.52</t>
  </si>
  <si>
    <t>25.61</t>
  </si>
  <si>
    <t>4.10K</t>
  </si>
  <si>
    <t>-2.24%</t>
  </si>
  <si>
    <t>26.57</t>
  </si>
  <si>
    <t>26.88</t>
  </si>
  <si>
    <t>25.71</t>
  </si>
  <si>
    <t>3.21K</t>
  </si>
  <si>
    <t>3.75%</t>
  </si>
  <si>
    <t>25.60</t>
  </si>
  <si>
    <t>24.47</t>
  </si>
  <si>
    <t>26.09</t>
  </si>
  <si>
    <t>24.44</t>
  </si>
  <si>
    <t>3.14K</t>
  </si>
  <si>
    <t>4.53%</t>
  </si>
  <si>
    <t>24.50</t>
  </si>
  <si>
    <t>26.06</t>
  </si>
  <si>
    <t>3.70K</t>
  </si>
  <si>
    <t>-5.86%</t>
  </si>
  <si>
    <t>26.02</t>
  </si>
  <si>
    <t>25.86</t>
  </si>
  <si>
    <t>1.83K</t>
  </si>
  <si>
    <t>-1.68%</t>
  </si>
  <si>
    <t>26.47</t>
  </si>
  <si>
    <t>27.75</t>
  </si>
  <si>
    <t>28.47</t>
  </si>
  <si>
    <t>26.16</t>
  </si>
  <si>
    <t>2.02K</t>
  </si>
  <si>
    <t>-4.90%</t>
  </si>
  <si>
    <t>27.83</t>
  </si>
  <si>
    <t>28.34</t>
  </si>
  <si>
    <t>28.69</t>
  </si>
  <si>
    <t>27.64</t>
  </si>
  <si>
    <t>1.22K</t>
  </si>
  <si>
    <t>-2.35%</t>
  </si>
  <si>
    <t>28.50</t>
  </si>
  <si>
    <t>28.92</t>
  </si>
  <si>
    <t>28.19</t>
  </si>
  <si>
    <t>1.73K</t>
  </si>
  <si>
    <t>-1.66%</t>
  </si>
  <si>
    <t>28.98</t>
  </si>
  <si>
    <t>29.03</t>
  </si>
  <si>
    <t>4.21K</t>
  </si>
  <si>
    <t>7.25%</t>
  </si>
  <si>
    <t>27.02</t>
  </si>
  <si>
    <t>27.47</t>
  </si>
  <si>
    <t>28.09</t>
  </si>
  <si>
    <t>26.61</t>
  </si>
  <si>
    <t>5.35K</t>
  </si>
  <si>
    <t>-0.64%</t>
  </si>
  <si>
    <t>27.39</t>
  </si>
  <si>
    <t>6.85K</t>
  </si>
  <si>
    <t>-0.37%</t>
  </si>
  <si>
    <t>28.82</t>
  </si>
  <si>
    <t>28.93</t>
  </si>
  <si>
    <t>27.09</t>
  </si>
  <si>
    <t>24.90K</t>
  </si>
  <si>
    <t>-5.24%</t>
  </si>
  <si>
    <t>28.81</t>
  </si>
  <si>
    <t>29.09</t>
  </si>
  <si>
    <t>29.17</t>
  </si>
  <si>
    <t>28.10</t>
  </si>
  <si>
    <t>2.99K</t>
  </si>
  <si>
    <t>-1.44%</t>
  </si>
  <si>
    <t>29.23</t>
  </si>
  <si>
    <t>29.46</t>
  </si>
  <si>
    <t>30.33</t>
  </si>
  <si>
    <t>28.95</t>
  </si>
  <si>
    <t>3.94K</t>
  </si>
  <si>
    <t>-1.25%</t>
  </si>
  <si>
    <t>29.59</t>
  </si>
  <si>
    <t>28.00</t>
  </si>
  <si>
    <t>31.66K</t>
  </si>
  <si>
    <t>5.25%</t>
  </si>
  <si>
    <t>28.12</t>
  </si>
  <si>
    <t>29.58</t>
  </si>
  <si>
    <t>29.63</t>
  </si>
  <si>
    <t>6.26K</t>
  </si>
  <si>
    <t>-6.13%</t>
  </si>
  <si>
    <t>31.34</t>
  </si>
  <si>
    <t>29.30</t>
  </si>
  <si>
    <t>2.13K</t>
  </si>
  <si>
    <t>-2.62%</t>
  </si>
  <si>
    <t>30.76</t>
  </si>
  <si>
    <t>32.42</t>
  </si>
  <si>
    <t>32.56</t>
  </si>
  <si>
    <t>30.37</t>
  </si>
  <si>
    <t>7.02K</t>
  </si>
  <si>
    <t>-4.23%</t>
  </si>
  <si>
    <t>32.12</t>
  </si>
  <si>
    <t>30.47</t>
  </si>
  <si>
    <t>32.97</t>
  </si>
  <si>
    <t>12.38K</t>
  </si>
  <si>
    <t>4.95%</t>
  </si>
  <si>
    <t>30.60</t>
  </si>
  <si>
    <t>30.84</t>
  </si>
  <si>
    <t>30.26</t>
  </si>
  <si>
    <t>1.92K</t>
  </si>
  <si>
    <t>30.50</t>
  </si>
  <si>
    <t>31.98</t>
  </si>
  <si>
    <t>32.03</t>
  </si>
  <si>
    <t>4.18K</t>
  </si>
  <si>
    <t>-2.46%</t>
  </si>
  <si>
    <t>31.27</t>
  </si>
  <si>
    <t>31.45</t>
  </si>
  <si>
    <t>32.45</t>
  </si>
  <si>
    <t>31.26</t>
  </si>
  <si>
    <t>8.27K</t>
  </si>
  <si>
    <t>31.23</t>
  </si>
  <si>
    <t>29.14</t>
  </si>
  <si>
    <t>31.46</t>
  </si>
  <si>
    <t>25.26K</t>
  </si>
  <si>
    <t>5.61%</t>
  </si>
  <si>
    <t>29.57</t>
  </si>
  <si>
    <t>28.99</t>
  </si>
  <si>
    <t>28.07</t>
  </si>
  <si>
    <t>7.05K</t>
  </si>
  <si>
    <t>28.90</t>
  </si>
  <si>
    <t>28.73</t>
  </si>
  <si>
    <t>26.98</t>
  </si>
  <si>
    <t>15.44K</t>
  </si>
  <si>
    <t>27.51</t>
  </si>
  <si>
    <t>25.25</t>
  </si>
  <si>
    <t>11.42K</t>
  </si>
  <si>
    <t>10.26%</t>
  </si>
  <si>
    <t>24.95</t>
  </si>
  <si>
    <t>25.80</t>
  </si>
  <si>
    <t>24.34</t>
  </si>
  <si>
    <t>3.87K</t>
  </si>
  <si>
    <t>25.88</t>
  </si>
  <si>
    <t>24.69</t>
  </si>
  <si>
    <t>25.98</t>
  </si>
  <si>
    <t>7.37K</t>
  </si>
  <si>
    <t>5.27%</t>
  </si>
  <si>
    <t>24.58</t>
  </si>
  <si>
    <t>25.96</t>
  </si>
  <si>
    <t>24.56</t>
  </si>
  <si>
    <t>24.33K</t>
  </si>
  <si>
    <t>-4.34%</t>
  </si>
  <si>
    <t>25.69</t>
  </si>
  <si>
    <t>27.34</t>
  </si>
  <si>
    <t>27.40</t>
  </si>
  <si>
    <t>25.67</t>
  </si>
  <si>
    <t>36.52K</t>
  </si>
  <si>
    <t>-6.31%</t>
  </si>
  <si>
    <t>27.42</t>
  </si>
  <si>
    <t>27.95</t>
  </si>
  <si>
    <t>28.52</t>
  </si>
  <si>
    <t>27.38</t>
  </si>
  <si>
    <t>13.77K</t>
  </si>
  <si>
    <t>0.11%</t>
  </si>
  <si>
    <t>29.22</t>
  </si>
  <si>
    <t>29.56</t>
  </si>
  <si>
    <t>35.23K</t>
  </si>
  <si>
    <t>-6.61%</t>
  </si>
  <si>
    <t>29.18</t>
  </si>
  <si>
    <t>30.00</t>
  </si>
  <si>
    <t>29.06</t>
  </si>
  <si>
    <t>0.50%</t>
  </si>
  <si>
    <t>29.19</t>
  </si>
  <si>
    <t>29.67</t>
  </si>
  <si>
    <t>29.78</t>
  </si>
  <si>
    <t>28.38</t>
  </si>
  <si>
    <t>47.32K</t>
  </si>
  <si>
    <t>-1.85%</t>
  </si>
  <si>
    <t>29.74</t>
  </si>
  <si>
    <t>29.69</t>
  </si>
  <si>
    <t>29.90</t>
  </si>
  <si>
    <t>28.68</t>
  </si>
  <si>
    <t>51.10K</t>
  </si>
  <si>
    <t>1.45%</t>
  </si>
  <si>
    <t>29.32</t>
  </si>
  <si>
    <t>26.65</t>
  </si>
  <si>
    <t>29.42</t>
  </si>
  <si>
    <t>26.36</t>
  </si>
  <si>
    <t>18.41K</t>
  </si>
  <si>
    <t>10.98%</t>
  </si>
  <si>
    <t>26.42</t>
  </si>
  <si>
    <t>26.79</t>
  </si>
  <si>
    <t>26.24</t>
  </si>
  <si>
    <t>3.07K</t>
  </si>
  <si>
    <t>-1.58%</t>
  </si>
  <si>
    <t>26.84</t>
  </si>
  <si>
    <t>25.83</t>
  </si>
  <si>
    <t>28.55K</t>
  </si>
  <si>
    <t>4.27%</t>
  </si>
  <si>
    <t>25.74</t>
  </si>
  <si>
    <t>26.31</t>
  </si>
  <si>
    <t>15.90K</t>
  </si>
  <si>
    <t>-5.80%</t>
  </si>
  <si>
    <t>27.33</t>
  </si>
  <si>
    <t>27.01</t>
  </si>
  <si>
    <t>45.86K</t>
  </si>
  <si>
    <t>0.96%</t>
  </si>
  <si>
    <t>27.07</t>
  </si>
  <si>
    <t>25.40</t>
  </si>
  <si>
    <t>3.81K</t>
  </si>
  <si>
    <t>3.64%</t>
  </si>
  <si>
    <t>26.11</t>
  </si>
  <si>
    <t>24.91</t>
  </si>
  <si>
    <t>24.81</t>
  </si>
  <si>
    <t>16.96K</t>
  </si>
  <si>
    <t>5.05%</t>
  </si>
  <si>
    <t>24.86</t>
  </si>
  <si>
    <t>26.12</t>
  </si>
  <si>
    <t>24.76</t>
  </si>
  <si>
    <t>4.79K</t>
  </si>
  <si>
    <t>-4.33%</t>
  </si>
  <si>
    <t>25.99</t>
  </si>
  <si>
    <t>23.14</t>
  </si>
  <si>
    <t>26.51</t>
  </si>
  <si>
    <t>13.90K</t>
  </si>
  <si>
    <t>12.32%</t>
  </si>
  <si>
    <t>23.06</t>
  </si>
  <si>
    <t>23.52</t>
  </si>
  <si>
    <t>21.66</t>
  </si>
  <si>
    <t>30.57K</t>
  </si>
  <si>
    <t>1.05%</t>
  </si>
  <si>
    <t>22.90</t>
  </si>
  <si>
    <t>22.82</t>
  </si>
  <si>
    <t>23.58</t>
  </si>
  <si>
    <t>22.24</t>
  </si>
  <si>
    <t>6.37K</t>
  </si>
  <si>
    <t>1.94%</t>
  </si>
  <si>
    <t>22.46</t>
  </si>
  <si>
    <t>22.00</t>
  </si>
  <si>
    <t>22.62</t>
  </si>
  <si>
    <t>22.43K</t>
  </si>
  <si>
    <t>2.46%</t>
  </si>
  <si>
    <t>21.92</t>
  </si>
  <si>
    <t>23.60</t>
  </si>
  <si>
    <t>23.70</t>
  </si>
  <si>
    <t>6.60K</t>
  </si>
  <si>
    <t>-9.22%</t>
  </si>
  <si>
    <t>24.15</t>
  </si>
  <si>
    <t>23.16</t>
  </si>
  <si>
    <t>5.41K</t>
  </si>
  <si>
    <t>2.90%</t>
  </si>
  <si>
    <t>23.47</t>
  </si>
  <si>
    <t>21.35</t>
  </si>
  <si>
    <t>21.23</t>
  </si>
  <si>
    <t>3.75K</t>
  </si>
  <si>
    <t>9.68%</t>
  </si>
  <si>
    <t>21.40</t>
  </si>
  <si>
    <t>22.07</t>
  </si>
  <si>
    <t>22.76</t>
  </si>
  <si>
    <t>17.84K</t>
  </si>
  <si>
    <t>-3.84%</t>
  </si>
  <si>
    <t>22.25</t>
  </si>
  <si>
    <t>23.33</t>
  </si>
  <si>
    <t>21.68</t>
  </si>
  <si>
    <t>9.72K</t>
  </si>
  <si>
    <t>-4.65%</t>
  </si>
  <si>
    <t>22.43</t>
  </si>
  <si>
    <t>6.76K</t>
  </si>
  <si>
    <t>22.39</t>
  </si>
  <si>
    <t>23.08</t>
  </si>
  <si>
    <t>23.22</t>
  </si>
  <si>
    <t>21.73</t>
  </si>
  <si>
    <t>2.58K</t>
  </si>
  <si>
    <t>-4.64%</t>
  </si>
  <si>
    <t>23.48</t>
  </si>
  <si>
    <t>23.55</t>
  </si>
  <si>
    <t>24.75</t>
  </si>
  <si>
    <t>23.37</t>
  </si>
  <si>
    <t>1.11K</t>
  </si>
  <si>
    <t>-1.41%</t>
  </si>
  <si>
    <t>23.81</t>
  </si>
  <si>
    <t>24.72</t>
  </si>
  <si>
    <t>24.78</t>
  </si>
  <si>
    <t>23.76</t>
  </si>
  <si>
    <t>-4.84%</t>
  </si>
  <si>
    <t>25.02</t>
  </si>
  <si>
    <t>24.25</t>
  </si>
  <si>
    <t>2.88K</t>
  </si>
  <si>
    <t>23.84</t>
  </si>
  <si>
    <t>23.99</t>
  </si>
  <si>
    <t>24.65</t>
  </si>
  <si>
    <t>2.64K</t>
  </si>
  <si>
    <t>-0.54%</t>
  </si>
  <si>
    <t>23.97</t>
  </si>
  <si>
    <t>23.31</t>
  </si>
  <si>
    <t>22.41</t>
  </si>
  <si>
    <t>12.54K</t>
  </si>
  <si>
    <t>1.31%</t>
  </si>
  <si>
    <t>23.66</t>
  </si>
  <si>
    <t>23.56</t>
  </si>
  <si>
    <t>22.85</t>
  </si>
  <si>
    <t>1.05K</t>
  </si>
  <si>
    <t>1.35%</t>
  </si>
  <si>
    <t>23.34</t>
  </si>
  <si>
    <t>24.99</t>
  </si>
  <si>
    <t>4.17K</t>
  </si>
  <si>
    <t>-6.62%</t>
  </si>
  <si>
    <t>25.36</t>
  </si>
  <si>
    <t>25.58</t>
  </si>
  <si>
    <t>23.85</t>
  </si>
  <si>
    <t>1.38K</t>
  </si>
  <si>
    <t>-0.83%</t>
  </si>
  <si>
    <t>25.21</t>
  </si>
  <si>
    <t>26.53</t>
  </si>
  <si>
    <t>24.19</t>
  </si>
  <si>
    <t>10.96K</t>
  </si>
  <si>
    <t>-5.42%</t>
  </si>
  <si>
    <t>26.66</t>
  </si>
  <si>
    <t>27.70</t>
  </si>
  <si>
    <t>27.97</t>
  </si>
  <si>
    <t>3.50K</t>
  </si>
  <si>
    <t>-4.67%</t>
  </si>
  <si>
    <t>23.67K</t>
  </si>
  <si>
    <t>-3.24%</t>
  </si>
  <si>
    <t>29.34</t>
  </si>
  <si>
    <t>27.77</t>
  </si>
  <si>
    <t>12.03K</t>
  </si>
  <si>
    <t>-1.31%</t>
  </si>
  <si>
    <t>29.28</t>
  </si>
  <si>
    <t>29.82</t>
  </si>
  <si>
    <t>28.57</t>
  </si>
  <si>
    <t>25.95K</t>
  </si>
  <si>
    <t>-0.59%</t>
  </si>
  <si>
    <t>29.91</t>
  </si>
  <si>
    <t>11.90K</t>
  </si>
  <si>
    <t>-0.34%</t>
  </si>
  <si>
    <t>29.88</t>
  </si>
  <si>
    <t>2.06K</t>
  </si>
  <si>
    <t>1.58%</t>
  </si>
  <si>
    <t>31.36</t>
  </si>
  <si>
    <t>28.41</t>
  </si>
  <si>
    <t>6.74K</t>
  </si>
  <si>
    <t>-8.36%</t>
  </si>
  <si>
    <t>31.75</t>
  </si>
  <si>
    <t>32.43</t>
  </si>
  <si>
    <t>33.40</t>
  </si>
  <si>
    <t>7.83K</t>
  </si>
  <si>
    <t>-4.61%</t>
  </si>
  <si>
    <t>33.28</t>
  </si>
  <si>
    <t>33.13</t>
  </si>
  <si>
    <t>33.49</t>
  </si>
  <si>
    <t>32.17</t>
  </si>
  <si>
    <t>19.49K</t>
  </si>
  <si>
    <t>-0.94%</t>
  </si>
  <si>
    <t>37.33</t>
  </si>
  <si>
    <t>37.85</t>
  </si>
  <si>
    <t>33.26K</t>
  </si>
  <si>
    <t>-8.66%</t>
  </si>
  <si>
    <t>36.17</t>
  </si>
  <si>
    <t>37.08</t>
  </si>
  <si>
    <t>35.87</t>
  </si>
  <si>
    <t>1.67%</t>
  </si>
  <si>
    <t>36.18</t>
  </si>
  <si>
    <t>35.76</t>
  </si>
  <si>
    <t>12.15K</t>
  </si>
  <si>
    <t>3.25%</t>
  </si>
  <si>
    <t>35.04</t>
  </si>
  <si>
    <t>34.97</t>
  </si>
  <si>
    <t>35.10</t>
  </si>
  <si>
    <t>32.90</t>
  </si>
  <si>
    <t>-0.16%</t>
  </si>
  <si>
    <t>33.72</t>
  </si>
  <si>
    <t>35.63</t>
  </si>
  <si>
    <t>5.71K</t>
  </si>
  <si>
    <t>4.20%</t>
  </si>
  <si>
    <t>33.68</t>
  </si>
  <si>
    <t>34.94</t>
  </si>
  <si>
    <t>32.47</t>
  </si>
  <si>
    <t>46.76K</t>
  </si>
  <si>
    <t>-4.10%</t>
  </si>
  <si>
    <t>35.28</t>
  </si>
  <si>
    <t>36.95</t>
  </si>
  <si>
    <t>33.04</t>
  </si>
  <si>
    <t>85.02K</t>
  </si>
  <si>
    <t>3.83%</t>
  </si>
  <si>
    <t>33.83</t>
  </si>
  <si>
    <t>31.20</t>
  </si>
  <si>
    <t>30.80</t>
  </si>
  <si>
    <t>41.59K</t>
  </si>
  <si>
    <t>11.21%</t>
  </si>
  <si>
    <t>30.42</t>
  </si>
  <si>
    <t>31.31</t>
  </si>
  <si>
    <t>33.05</t>
  </si>
  <si>
    <t>30.20</t>
  </si>
  <si>
    <t>24.31K</t>
  </si>
  <si>
    <t>-2.78%</t>
  </si>
  <si>
    <t>31.28</t>
  </si>
  <si>
    <t>31.57</t>
  </si>
  <si>
    <t>32.32K</t>
  </si>
  <si>
    <t>10.78%</t>
  </si>
  <si>
    <t>28.24</t>
  </si>
  <si>
    <t>27.24</t>
  </si>
  <si>
    <t>28.49</t>
  </si>
  <si>
    <t>5.69K</t>
  </si>
  <si>
    <t>3.86%</t>
  </si>
  <si>
    <t>10.26K</t>
  </si>
  <si>
    <t>7.31K</t>
  </si>
  <si>
    <t>-9.77%</t>
  </si>
  <si>
    <t>29.39</t>
  </si>
  <si>
    <t>28.33</t>
  </si>
  <si>
    <t>30.16</t>
  </si>
  <si>
    <t>27.65</t>
  </si>
  <si>
    <t>18.63K</t>
  </si>
  <si>
    <t>4.76%</t>
  </si>
  <si>
    <t>28.06</t>
  </si>
  <si>
    <t>27.32</t>
  </si>
  <si>
    <t>1.76K</t>
  </si>
  <si>
    <t>2.47%</t>
  </si>
  <si>
    <t>29.12</t>
  </si>
  <si>
    <t>27.29</t>
  </si>
  <si>
    <t>2.53K</t>
  </si>
  <si>
    <t>-3.71%</t>
  </si>
  <si>
    <t>28.43</t>
  </si>
  <si>
    <t>28.72</t>
  </si>
  <si>
    <t>4.00K</t>
  </si>
  <si>
    <t>-0.07%</t>
  </si>
  <si>
    <t>28.45</t>
  </si>
  <si>
    <t>28.02</t>
  </si>
  <si>
    <t>27.66</t>
  </si>
  <si>
    <t>4.13K</t>
  </si>
  <si>
    <t>0.71%</t>
  </si>
  <si>
    <t>28.25</t>
  </si>
  <si>
    <t>28.37</t>
  </si>
  <si>
    <t>26.32</t>
  </si>
  <si>
    <t>3.42K</t>
  </si>
  <si>
    <t>4.22%</t>
  </si>
  <si>
    <t>27.11</t>
  </si>
  <si>
    <t>28.39</t>
  </si>
  <si>
    <t>3.57K</t>
  </si>
  <si>
    <t>-1.42%</t>
  </si>
  <si>
    <t>28.91</t>
  </si>
  <si>
    <t>27.28</t>
  </si>
  <si>
    <t>7.65K</t>
  </si>
  <si>
    <t>-3.42%</t>
  </si>
  <si>
    <t>28.48</t>
  </si>
  <si>
    <t>30.17</t>
  </si>
  <si>
    <t>30.19</t>
  </si>
  <si>
    <t>15.53K</t>
  </si>
  <si>
    <t>-6.78%</t>
  </si>
  <si>
    <t>30.55</t>
  </si>
  <si>
    <t>30.36</t>
  </si>
  <si>
    <t>31.42</t>
  </si>
  <si>
    <t>5.42K</t>
  </si>
  <si>
    <t>-0.60%</t>
  </si>
  <si>
    <t>30.73</t>
  </si>
  <si>
    <t>28.40</t>
  </si>
  <si>
    <t>25.10K</t>
  </si>
  <si>
    <t>9.48%</t>
  </si>
  <si>
    <t>8,89K</t>
  </si>
  <si>
    <t>7,45K</t>
  </si>
  <si>
    <t>12,80K</t>
  </si>
  <si>
    <t>7,25K</t>
  </si>
  <si>
    <t>7,75K</t>
  </si>
  <si>
    <t>5,02K</t>
  </si>
  <si>
    <t>2,61K</t>
  </si>
  <si>
    <t>6,46K</t>
  </si>
  <si>
    <t>14,24K</t>
  </si>
  <si>
    <t>3,23K</t>
  </si>
  <si>
    <t>10,66K</t>
  </si>
  <si>
    <t>3,08K</t>
  </si>
  <si>
    <t>24,81K</t>
  </si>
  <si>
    <t>19,29K</t>
  </si>
  <si>
    <t>34,11K</t>
  </si>
  <si>
    <t>6,97K</t>
  </si>
  <si>
    <t>2,81K</t>
  </si>
  <si>
    <t>8,45K</t>
  </si>
  <si>
    <t>4,34K</t>
  </si>
  <si>
    <t>2,99K</t>
  </si>
  <si>
    <t>8,12K</t>
  </si>
  <si>
    <t>8,40K</t>
  </si>
  <si>
    <t>11,62K</t>
  </si>
  <si>
    <t>6,33K</t>
  </si>
  <si>
    <t>12,72K</t>
  </si>
  <si>
    <t>6,36K</t>
  </si>
  <si>
    <t>4,10K</t>
  </si>
  <si>
    <t>3,21K</t>
  </si>
  <si>
    <t>8,48K</t>
  </si>
  <si>
    <t>3,95K</t>
  </si>
  <si>
    <t>8,82K</t>
  </si>
  <si>
    <t>21,37K</t>
  </si>
  <si>
    <t>6,59K</t>
  </si>
  <si>
    <t>14,03K</t>
  </si>
  <si>
    <t>20,91K</t>
  </si>
  <si>
    <t>14,16K</t>
  </si>
  <si>
    <t>6,38K</t>
  </si>
  <si>
    <t>11,08K</t>
  </si>
  <si>
    <t>9,89K</t>
  </si>
  <si>
    <t>14,73K</t>
  </si>
  <si>
    <t>35,29K</t>
  </si>
  <si>
    <t>10,63K</t>
  </si>
  <si>
    <t>17,88K</t>
  </si>
  <si>
    <t>15,01K</t>
  </si>
  <si>
    <t>11,27K</t>
  </si>
  <si>
    <t>9,01K</t>
  </si>
  <si>
    <t>6,39K</t>
  </si>
  <si>
    <t>8,49K</t>
  </si>
  <si>
    <t>6,49K</t>
  </si>
  <si>
    <t>2,09K</t>
  </si>
  <si>
    <t>7,44K</t>
  </si>
  <si>
    <t>6,11K</t>
  </si>
  <si>
    <t>18,61K</t>
  </si>
  <si>
    <t>21,56K</t>
  </si>
  <si>
    <t>38,73K</t>
  </si>
  <si>
    <t>46,79K</t>
  </si>
  <si>
    <t>12,16K</t>
  </si>
  <si>
    <t>3,11K</t>
  </si>
  <si>
    <t>22,02K</t>
  </si>
  <si>
    <t>7,68K</t>
  </si>
  <si>
    <t>40,56K</t>
  </si>
  <si>
    <t>46,54K</t>
  </si>
  <si>
    <t>4,29K</t>
  </si>
  <si>
    <t>5,32K</t>
  </si>
  <si>
    <t>15,19K</t>
  </si>
  <si>
    <t>6,50K</t>
  </si>
  <si>
    <t>15,49K</t>
  </si>
  <si>
    <t>15,10K</t>
  </si>
  <si>
    <t>23,04K</t>
  </si>
  <si>
    <t>30,26K</t>
  </si>
  <si>
    <t>32,66K</t>
  </si>
  <si>
    <t>45,50K</t>
  </si>
  <si>
    <t>31,61K</t>
  </si>
  <si>
    <t>52,61K</t>
  </si>
  <si>
    <t>45,18K</t>
  </si>
  <si>
    <t>11,78K</t>
  </si>
  <si>
    <t>7,18K</t>
  </si>
  <si>
    <t>7,70K</t>
  </si>
  <si>
    <t>18,74K</t>
  </si>
  <si>
    <t>40,19K</t>
  </si>
  <si>
    <t>10,94K</t>
  </si>
  <si>
    <t>7,38K</t>
  </si>
  <si>
    <t>4,44K</t>
  </si>
  <si>
    <t>6,73K</t>
  </si>
  <si>
    <t>2,75K</t>
  </si>
  <si>
    <t>11,45K</t>
  </si>
  <si>
    <t>4,60K</t>
  </si>
  <si>
    <t>5,61K</t>
  </si>
  <si>
    <t>40,18K</t>
  </si>
  <si>
    <t>4,45K</t>
  </si>
  <si>
    <t>4,37K</t>
  </si>
  <si>
    <t>73,57K</t>
  </si>
  <si>
    <t>3,50K</t>
  </si>
  <si>
    <t>13,55K</t>
  </si>
  <si>
    <t>7,67K</t>
  </si>
  <si>
    <t>2,27K</t>
  </si>
  <si>
    <t>39,91K</t>
  </si>
  <si>
    <t>43,13K</t>
  </si>
  <si>
    <t>0,45K</t>
  </si>
  <si>
    <t>3,44K</t>
  </si>
  <si>
    <t>24,39K</t>
  </si>
  <si>
    <t>15,32K</t>
  </si>
  <si>
    <t>46,10K</t>
  </si>
  <si>
    <t>15,03K</t>
  </si>
  <si>
    <t>3,46K</t>
  </si>
  <si>
    <t>5,65K</t>
  </si>
  <si>
    <t>16,17K</t>
  </si>
  <si>
    <t>6,79K</t>
  </si>
  <si>
    <t>16,38K</t>
  </si>
  <si>
    <t>6,53K</t>
  </si>
  <si>
    <t>6,82K</t>
  </si>
  <si>
    <t>3,29K</t>
  </si>
  <si>
    <t>9,39K</t>
  </si>
  <si>
    <t>3,42K</t>
  </si>
  <si>
    <t>3,65K</t>
  </si>
  <si>
    <t>6,60K</t>
  </si>
  <si>
    <t>1,98K</t>
  </si>
  <si>
    <t>10,77K</t>
  </si>
  <si>
    <t>13,12K</t>
  </si>
  <si>
    <t>24,79K</t>
  </si>
  <si>
    <t>41,85K</t>
  </si>
  <si>
    <t>5,81K</t>
  </si>
  <si>
    <t>5,39K</t>
  </si>
  <si>
    <t>9,03K</t>
  </si>
  <si>
    <t>34,84K</t>
  </si>
  <si>
    <t>5,04K</t>
  </si>
  <si>
    <t>10,57K</t>
  </si>
  <si>
    <t>21,02K</t>
  </si>
  <si>
    <t>8,63K</t>
  </si>
  <si>
    <t>32,53K</t>
  </si>
  <si>
    <t>49,78K</t>
  </si>
  <si>
    <t>11,43K</t>
  </si>
  <si>
    <t>6,96K</t>
  </si>
  <si>
    <t>6,13K</t>
  </si>
  <si>
    <t>8,32K</t>
  </si>
  <si>
    <t>27,40K</t>
  </si>
  <si>
    <t>8,46K</t>
  </si>
  <si>
    <t>4,82K</t>
  </si>
  <si>
    <t>3,49K</t>
  </si>
  <si>
    <t>15,40K</t>
  </si>
  <si>
    <t>43,00K</t>
  </si>
  <si>
    <t>28,29K</t>
  </si>
  <si>
    <t>2,83K</t>
  </si>
  <si>
    <t>2,94K</t>
  </si>
  <si>
    <t>5,26K</t>
  </si>
  <si>
    <t>3,54K</t>
  </si>
  <si>
    <t>4,28K</t>
  </si>
  <si>
    <t>3,78K</t>
  </si>
  <si>
    <t>4,13K</t>
  </si>
  <si>
    <t>1,92K</t>
  </si>
  <si>
    <t>2,74K</t>
  </si>
  <si>
    <t>1,01K</t>
  </si>
  <si>
    <t>10,82K</t>
  </si>
  <si>
    <t>17,25K</t>
  </si>
  <si>
    <t>11,95K</t>
  </si>
  <si>
    <t>0,12K</t>
  </si>
  <si>
    <t>4,25K</t>
  </si>
  <si>
    <t>1,95K</t>
  </si>
  <si>
    <t>6,14K</t>
  </si>
  <si>
    <t>11,37K</t>
  </si>
  <si>
    <t>2,77K</t>
  </si>
  <si>
    <t>9,73K</t>
  </si>
  <si>
    <t>7,57K</t>
  </si>
  <si>
    <t>3,76K</t>
  </si>
  <si>
    <t>2,01K</t>
  </si>
  <si>
    <t>3,47K</t>
  </si>
  <si>
    <t>2,08K</t>
  </si>
  <si>
    <t>28,42K</t>
  </si>
  <si>
    <t>13,86K</t>
  </si>
  <si>
    <t>3,97K</t>
  </si>
  <si>
    <t>16,95K</t>
  </si>
  <si>
    <t>8,51K</t>
  </si>
  <si>
    <t>6,83K</t>
  </si>
  <si>
    <t>9,52K</t>
  </si>
  <si>
    <t>4,02K</t>
  </si>
  <si>
    <t>1,93K</t>
  </si>
  <si>
    <t>2,23K</t>
  </si>
  <si>
    <t>12,65K</t>
  </si>
  <si>
    <t>18,15K</t>
  </si>
  <si>
    <t>27,22K</t>
  </si>
  <si>
    <t>15,09K</t>
  </si>
  <si>
    <t>3,81K</t>
  </si>
  <si>
    <t>36,71K</t>
  </si>
  <si>
    <t>28,51K</t>
  </si>
  <si>
    <t>49,15K</t>
  </si>
  <si>
    <t>35,76K</t>
  </si>
  <si>
    <t>40,53K</t>
  </si>
  <si>
    <t>17,78K</t>
  </si>
  <si>
    <t>20,74K</t>
  </si>
  <si>
    <t>8,25K</t>
  </si>
  <si>
    <t>10,07K</t>
  </si>
  <si>
    <t>27,51K</t>
  </si>
  <si>
    <t>25,57K</t>
  </si>
  <si>
    <t>9,23K</t>
  </si>
  <si>
    <t>23,22K</t>
  </si>
  <si>
    <t>1,67K</t>
  </si>
  <si>
    <t>6,10K</t>
  </si>
  <si>
    <t>62,59K</t>
  </si>
  <si>
    <t>11,47K</t>
  </si>
  <si>
    <t>10,18K</t>
  </si>
  <si>
    <t>11,29K</t>
  </si>
  <si>
    <t>12,67K</t>
  </si>
  <si>
    <t>7,95K</t>
  </si>
  <si>
    <t>returns_MSCI</t>
  </si>
  <si>
    <t>returns_France equity</t>
  </si>
  <si>
    <t>returns_Gold</t>
  </si>
  <si>
    <t>Index_France_equity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</si>
</sst>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0" fontId="0" fillId="0" borderId="0" xfId="0" applyNumberFormat="1"/>
    <xf numFmtId="14" fontId="0" fillId="0" borderId="10" xfId="0" applyNumberFormat="1" applyBorder="1"/>
    <xf numFmtId="0" fontId="0" fillId="0" borderId="10" xfId="0" applyBorder="1"/>
    <xf numFmtId="0" fontId="16" fillId="0" borderId="10" xfId="0" applyFont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Evolution of ETF prices (Base 100)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Index_MSCI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Graph!$A$2:$A$214</c:f>
              <c:numCache>
                <c:formatCode>m/d/yyyy</c:formatCode>
                <c:ptCount val="213"/>
                <c:pt idx="0">
                  <c:v>44507</c:v>
                </c:pt>
                <c:pt idx="1">
                  <c:v>44514</c:v>
                </c:pt>
                <c:pt idx="2">
                  <c:v>44521</c:v>
                </c:pt>
                <c:pt idx="3">
                  <c:v>44528</c:v>
                </c:pt>
                <c:pt idx="4">
                  <c:v>44535</c:v>
                </c:pt>
                <c:pt idx="5">
                  <c:v>44542</c:v>
                </c:pt>
                <c:pt idx="6">
                  <c:v>44549</c:v>
                </c:pt>
                <c:pt idx="7">
                  <c:v>44556</c:v>
                </c:pt>
                <c:pt idx="8">
                  <c:v>44563</c:v>
                </c:pt>
                <c:pt idx="9">
                  <c:v>44570</c:v>
                </c:pt>
                <c:pt idx="10">
                  <c:v>44577</c:v>
                </c:pt>
                <c:pt idx="11">
                  <c:v>44584</c:v>
                </c:pt>
                <c:pt idx="12">
                  <c:v>44591</c:v>
                </c:pt>
                <c:pt idx="13">
                  <c:v>44598</c:v>
                </c:pt>
                <c:pt idx="14">
                  <c:v>44605</c:v>
                </c:pt>
                <c:pt idx="15">
                  <c:v>44612</c:v>
                </c:pt>
                <c:pt idx="16">
                  <c:v>44619</c:v>
                </c:pt>
                <c:pt idx="17">
                  <c:v>44626</c:v>
                </c:pt>
                <c:pt idx="18">
                  <c:v>44633</c:v>
                </c:pt>
                <c:pt idx="19">
                  <c:v>44640</c:v>
                </c:pt>
                <c:pt idx="20">
                  <c:v>44647</c:v>
                </c:pt>
                <c:pt idx="21">
                  <c:v>44654</c:v>
                </c:pt>
                <c:pt idx="22">
                  <c:v>44661</c:v>
                </c:pt>
                <c:pt idx="23">
                  <c:v>44668</c:v>
                </c:pt>
                <c:pt idx="24">
                  <c:v>44675</c:v>
                </c:pt>
                <c:pt idx="25">
                  <c:v>44682</c:v>
                </c:pt>
                <c:pt idx="26">
                  <c:v>44689</c:v>
                </c:pt>
                <c:pt idx="27">
                  <c:v>44696</c:v>
                </c:pt>
                <c:pt idx="28">
                  <c:v>44703</c:v>
                </c:pt>
                <c:pt idx="29">
                  <c:v>44710</c:v>
                </c:pt>
                <c:pt idx="30">
                  <c:v>44717</c:v>
                </c:pt>
                <c:pt idx="31">
                  <c:v>44724</c:v>
                </c:pt>
                <c:pt idx="32">
                  <c:v>44731</c:v>
                </c:pt>
                <c:pt idx="33">
                  <c:v>44738</c:v>
                </c:pt>
                <c:pt idx="34">
                  <c:v>44745</c:v>
                </c:pt>
                <c:pt idx="35">
                  <c:v>44752</c:v>
                </c:pt>
                <c:pt idx="36">
                  <c:v>44759</c:v>
                </c:pt>
                <c:pt idx="37">
                  <c:v>44766</c:v>
                </c:pt>
                <c:pt idx="38">
                  <c:v>44773</c:v>
                </c:pt>
                <c:pt idx="39">
                  <c:v>44780</c:v>
                </c:pt>
                <c:pt idx="40">
                  <c:v>44787</c:v>
                </c:pt>
                <c:pt idx="41">
                  <c:v>44794</c:v>
                </c:pt>
                <c:pt idx="42">
                  <c:v>44801</c:v>
                </c:pt>
                <c:pt idx="43">
                  <c:v>44808</c:v>
                </c:pt>
                <c:pt idx="44">
                  <c:v>44815</c:v>
                </c:pt>
                <c:pt idx="45">
                  <c:v>44822</c:v>
                </c:pt>
                <c:pt idx="46">
                  <c:v>44829</c:v>
                </c:pt>
                <c:pt idx="47">
                  <c:v>44836</c:v>
                </c:pt>
                <c:pt idx="48">
                  <c:v>44843</c:v>
                </c:pt>
                <c:pt idx="49">
                  <c:v>44850</c:v>
                </c:pt>
                <c:pt idx="50">
                  <c:v>44857</c:v>
                </c:pt>
                <c:pt idx="51">
                  <c:v>44864</c:v>
                </c:pt>
                <c:pt idx="52">
                  <c:v>44871</c:v>
                </c:pt>
                <c:pt idx="53">
                  <c:v>44878</c:v>
                </c:pt>
                <c:pt idx="54">
                  <c:v>44885</c:v>
                </c:pt>
                <c:pt idx="55">
                  <c:v>44892</c:v>
                </c:pt>
                <c:pt idx="56">
                  <c:v>44899</c:v>
                </c:pt>
                <c:pt idx="57">
                  <c:v>44906</c:v>
                </c:pt>
                <c:pt idx="58">
                  <c:v>44913</c:v>
                </c:pt>
                <c:pt idx="59">
                  <c:v>44920</c:v>
                </c:pt>
                <c:pt idx="60">
                  <c:v>44927</c:v>
                </c:pt>
                <c:pt idx="61">
                  <c:v>44934</c:v>
                </c:pt>
                <c:pt idx="62">
                  <c:v>44941</c:v>
                </c:pt>
                <c:pt idx="63">
                  <c:v>44948</c:v>
                </c:pt>
                <c:pt idx="64">
                  <c:v>44955</c:v>
                </c:pt>
                <c:pt idx="65">
                  <c:v>44962</c:v>
                </c:pt>
                <c:pt idx="66">
                  <c:v>44969</c:v>
                </c:pt>
                <c:pt idx="67">
                  <c:v>44976</c:v>
                </c:pt>
                <c:pt idx="68">
                  <c:v>44983</c:v>
                </c:pt>
                <c:pt idx="69">
                  <c:v>44990</c:v>
                </c:pt>
                <c:pt idx="70">
                  <c:v>44997</c:v>
                </c:pt>
                <c:pt idx="71">
                  <c:v>45004</c:v>
                </c:pt>
                <c:pt idx="72">
                  <c:v>45011</c:v>
                </c:pt>
                <c:pt idx="73">
                  <c:v>45018</c:v>
                </c:pt>
                <c:pt idx="74">
                  <c:v>45025</c:v>
                </c:pt>
                <c:pt idx="75">
                  <c:v>45032</c:v>
                </c:pt>
                <c:pt idx="76">
                  <c:v>45039</c:v>
                </c:pt>
                <c:pt idx="77">
                  <c:v>45046</c:v>
                </c:pt>
                <c:pt idx="78">
                  <c:v>45053</c:v>
                </c:pt>
                <c:pt idx="79">
                  <c:v>45060</c:v>
                </c:pt>
                <c:pt idx="80">
                  <c:v>45067</c:v>
                </c:pt>
                <c:pt idx="81">
                  <c:v>45074</c:v>
                </c:pt>
                <c:pt idx="82">
                  <c:v>45081</c:v>
                </c:pt>
                <c:pt idx="83">
                  <c:v>45088</c:v>
                </c:pt>
                <c:pt idx="84">
                  <c:v>45095</c:v>
                </c:pt>
                <c:pt idx="85">
                  <c:v>45102</c:v>
                </c:pt>
                <c:pt idx="86">
                  <c:v>45109</c:v>
                </c:pt>
                <c:pt idx="87">
                  <c:v>45116</c:v>
                </c:pt>
                <c:pt idx="88">
                  <c:v>45123</c:v>
                </c:pt>
                <c:pt idx="89">
                  <c:v>45130</c:v>
                </c:pt>
                <c:pt idx="90">
                  <c:v>45137</c:v>
                </c:pt>
                <c:pt idx="91">
                  <c:v>45144</c:v>
                </c:pt>
                <c:pt idx="92">
                  <c:v>45151</c:v>
                </c:pt>
                <c:pt idx="93">
                  <c:v>45158</c:v>
                </c:pt>
                <c:pt idx="94">
                  <c:v>45165</c:v>
                </c:pt>
                <c:pt idx="95">
                  <c:v>45172</c:v>
                </c:pt>
                <c:pt idx="96">
                  <c:v>45179</c:v>
                </c:pt>
                <c:pt idx="97">
                  <c:v>45186</c:v>
                </c:pt>
                <c:pt idx="98">
                  <c:v>45193</c:v>
                </c:pt>
                <c:pt idx="99">
                  <c:v>45200</c:v>
                </c:pt>
                <c:pt idx="100">
                  <c:v>45207</c:v>
                </c:pt>
                <c:pt idx="101">
                  <c:v>45214</c:v>
                </c:pt>
                <c:pt idx="102">
                  <c:v>45221</c:v>
                </c:pt>
                <c:pt idx="103">
                  <c:v>45228</c:v>
                </c:pt>
                <c:pt idx="104">
                  <c:v>45235</c:v>
                </c:pt>
                <c:pt idx="105">
                  <c:v>45242</c:v>
                </c:pt>
                <c:pt idx="106">
                  <c:v>45249</c:v>
                </c:pt>
                <c:pt idx="107">
                  <c:v>45256</c:v>
                </c:pt>
                <c:pt idx="108">
                  <c:v>45263</c:v>
                </c:pt>
                <c:pt idx="109">
                  <c:v>45270</c:v>
                </c:pt>
                <c:pt idx="110">
                  <c:v>45277</c:v>
                </c:pt>
                <c:pt idx="111">
                  <c:v>45284</c:v>
                </c:pt>
                <c:pt idx="112">
                  <c:v>45291</c:v>
                </c:pt>
                <c:pt idx="113">
                  <c:v>45298</c:v>
                </c:pt>
                <c:pt idx="114">
                  <c:v>45305</c:v>
                </c:pt>
                <c:pt idx="115">
                  <c:v>45312</c:v>
                </c:pt>
                <c:pt idx="116">
                  <c:v>45319</c:v>
                </c:pt>
                <c:pt idx="117">
                  <c:v>45326</c:v>
                </c:pt>
                <c:pt idx="118">
                  <c:v>45333</c:v>
                </c:pt>
                <c:pt idx="119">
                  <c:v>45340</c:v>
                </c:pt>
                <c:pt idx="120">
                  <c:v>45347</c:v>
                </c:pt>
                <c:pt idx="121">
                  <c:v>45354</c:v>
                </c:pt>
                <c:pt idx="122">
                  <c:v>45361</c:v>
                </c:pt>
                <c:pt idx="123">
                  <c:v>45368</c:v>
                </c:pt>
                <c:pt idx="124">
                  <c:v>45375</c:v>
                </c:pt>
                <c:pt idx="125">
                  <c:v>45382</c:v>
                </c:pt>
                <c:pt idx="126">
                  <c:v>45389</c:v>
                </c:pt>
                <c:pt idx="127">
                  <c:v>45396</c:v>
                </c:pt>
                <c:pt idx="128">
                  <c:v>45403</c:v>
                </c:pt>
                <c:pt idx="129">
                  <c:v>45410</c:v>
                </c:pt>
                <c:pt idx="130">
                  <c:v>45417</c:v>
                </c:pt>
                <c:pt idx="131">
                  <c:v>45424</c:v>
                </c:pt>
                <c:pt idx="132">
                  <c:v>45431</c:v>
                </c:pt>
                <c:pt idx="133">
                  <c:v>45438</c:v>
                </c:pt>
                <c:pt idx="134">
                  <c:v>45445</c:v>
                </c:pt>
                <c:pt idx="135">
                  <c:v>45452</c:v>
                </c:pt>
                <c:pt idx="136">
                  <c:v>45459</c:v>
                </c:pt>
                <c:pt idx="137">
                  <c:v>45466</c:v>
                </c:pt>
                <c:pt idx="138">
                  <c:v>45473</c:v>
                </c:pt>
                <c:pt idx="139">
                  <c:v>45480</c:v>
                </c:pt>
                <c:pt idx="140">
                  <c:v>45487</c:v>
                </c:pt>
                <c:pt idx="141">
                  <c:v>45494</c:v>
                </c:pt>
                <c:pt idx="142">
                  <c:v>45501</c:v>
                </c:pt>
                <c:pt idx="143">
                  <c:v>45508</c:v>
                </c:pt>
                <c:pt idx="144">
                  <c:v>45515</c:v>
                </c:pt>
                <c:pt idx="145">
                  <c:v>45522</c:v>
                </c:pt>
                <c:pt idx="146">
                  <c:v>45529</c:v>
                </c:pt>
                <c:pt idx="147">
                  <c:v>45536</c:v>
                </c:pt>
                <c:pt idx="148">
                  <c:v>45543</c:v>
                </c:pt>
                <c:pt idx="149">
                  <c:v>45550</c:v>
                </c:pt>
                <c:pt idx="150">
                  <c:v>45557</c:v>
                </c:pt>
                <c:pt idx="151">
                  <c:v>45564</c:v>
                </c:pt>
                <c:pt idx="152">
                  <c:v>45571</c:v>
                </c:pt>
                <c:pt idx="153">
                  <c:v>45578</c:v>
                </c:pt>
                <c:pt idx="154">
                  <c:v>45585</c:v>
                </c:pt>
                <c:pt idx="155">
                  <c:v>45592</c:v>
                </c:pt>
                <c:pt idx="156">
                  <c:v>45599</c:v>
                </c:pt>
                <c:pt idx="157">
                  <c:v>45606</c:v>
                </c:pt>
                <c:pt idx="158">
                  <c:v>45613</c:v>
                </c:pt>
                <c:pt idx="159">
                  <c:v>45620</c:v>
                </c:pt>
                <c:pt idx="160">
                  <c:v>45627</c:v>
                </c:pt>
                <c:pt idx="161">
                  <c:v>45634</c:v>
                </c:pt>
                <c:pt idx="162">
                  <c:v>45641</c:v>
                </c:pt>
                <c:pt idx="163">
                  <c:v>45648</c:v>
                </c:pt>
                <c:pt idx="164">
                  <c:v>45655</c:v>
                </c:pt>
                <c:pt idx="165">
                  <c:v>45662</c:v>
                </c:pt>
                <c:pt idx="166">
                  <c:v>45669</c:v>
                </c:pt>
                <c:pt idx="167">
                  <c:v>45676</c:v>
                </c:pt>
                <c:pt idx="168">
                  <c:v>45683</c:v>
                </c:pt>
                <c:pt idx="169">
                  <c:v>45690</c:v>
                </c:pt>
                <c:pt idx="170">
                  <c:v>45697</c:v>
                </c:pt>
                <c:pt idx="171">
                  <c:v>45704</c:v>
                </c:pt>
                <c:pt idx="172">
                  <c:v>45711</c:v>
                </c:pt>
                <c:pt idx="173">
                  <c:v>45718</c:v>
                </c:pt>
                <c:pt idx="174">
                  <c:v>45725</c:v>
                </c:pt>
                <c:pt idx="175">
                  <c:v>45732</c:v>
                </c:pt>
                <c:pt idx="176">
                  <c:v>45739</c:v>
                </c:pt>
                <c:pt idx="177">
                  <c:v>45746</c:v>
                </c:pt>
                <c:pt idx="178">
                  <c:v>45753</c:v>
                </c:pt>
                <c:pt idx="179">
                  <c:v>45760</c:v>
                </c:pt>
                <c:pt idx="180">
                  <c:v>45767</c:v>
                </c:pt>
                <c:pt idx="181">
                  <c:v>45774</c:v>
                </c:pt>
                <c:pt idx="182">
                  <c:v>45781</c:v>
                </c:pt>
                <c:pt idx="183">
                  <c:v>45788</c:v>
                </c:pt>
                <c:pt idx="184">
                  <c:v>45795</c:v>
                </c:pt>
                <c:pt idx="185">
                  <c:v>45802</c:v>
                </c:pt>
                <c:pt idx="186">
                  <c:v>45809</c:v>
                </c:pt>
                <c:pt idx="187">
                  <c:v>45816</c:v>
                </c:pt>
                <c:pt idx="188">
                  <c:v>45823</c:v>
                </c:pt>
                <c:pt idx="189">
                  <c:v>45830</c:v>
                </c:pt>
                <c:pt idx="190">
                  <c:v>45837</c:v>
                </c:pt>
                <c:pt idx="191">
                  <c:v>45844</c:v>
                </c:pt>
                <c:pt idx="192">
                  <c:v>45851</c:v>
                </c:pt>
                <c:pt idx="193">
                  <c:v>45858</c:v>
                </c:pt>
                <c:pt idx="194">
                  <c:v>45865</c:v>
                </c:pt>
                <c:pt idx="195">
                  <c:v>45872</c:v>
                </c:pt>
                <c:pt idx="196">
                  <c:v>45879</c:v>
                </c:pt>
                <c:pt idx="197">
                  <c:v>45886</c:v>
                </c:pt>
                <c:pt idx="198">
                  <c:v>45893</c:v>
                </c:pt>
                <c:pt idx="199">
                  <c:v>45900</c:v>
                </c:pt>
                <c:pt idx="200">
                  <c:v>45907</c:v>
                </c:pt>
                <c:pt idx="201">
                  <c:v>45914</c:v>
                </c:pt>
                <c:pt idx="202">
                  <c:v>45921</c:v>
                </c:pt>
                <c:pt idx="203">
                  <c:v>45928</c:v>
                </c:pt>
                <c:pt idx="204">
                  <c:v>45935</c:v>
                </c:pt>
                <c:pt idx="205">
                  <c:v>45942</c:v>
                </c:pt>
                <c:pt idx="206">
                  <c:v>45949</c:v>
                </c:pt>
                <c:pt idx="207">
                  <c:v>45956</c:v>
                </c:pt>
                <c:pt idx="208">
                  <c:v>45963</c:v>
                </c:pt>
                <c:pt idx="209">
                  <c:v>45970</c:v>
                </c:pt>
                <c:pt idx="210">
                  <c:v>45977</c:v>
                </c:pt>
                <c:pt idx="211">
                  <c:v>45984</c:v>
                </c:pt>
                <c:pt idx="212">
                  <c:v>45991</c:v>
                </c:pt>
              </c:numCache>
            </c:numRef>
          </c:cat>
          <c:val>
            <c:numRef>
              <c:f>Graph!$B$2:$B$214</c:f>
              <c:numCache>
                <c:formatCode>General</c:formatCode>
                <c:ptCount val="213"/>
                <c:pt idx="0">
                  <c:v>100</c:v>
                </c:pt>
                <c:pt idx="1">
                  <c:v>101.29729729729731</c:v>
                </c:pt>
                <c:pt idx="2">
                  <c:v>98.186186186186177</c:v>
                </c:pt>
                <c:pt idx="3">
                  <c:v>97.021021021021014</c:v>
                </c:pt>
                <c:pt idx="4">
                  <c:v>99.807807807807819</c:v>
                </c:pt>
                <c:pt idx="5">
                  <c:v>99.35135135135134</c:v>
                </c:pt>
                <c:pt idx="6">
                  <c:v>100.90090090090089</c:v>
                </c:pt>
                <c:pt idx="7">
                  <c:v>101.95795795795794</c:v>
                </c:pt>
                <c:pt idx="8">
                  <c:v>99.711711711711715</c:v>
                </c:pt>
                <c:pt idx="9">
                  <c:v>98.414414414414424</c:v>
                </c:pt>
                <c:pt idx="10">
                  <c:v>96.204204204204217</c:v>
                </c:pt>
                <c:pt idx="11">
                  <c:v>94.642642642642656</c:v>
                </c:pt>
                <c:pt idx="12">
                  <c:v>94.810810810810821</c:v>
                </c:pt>
                <c:pt idx="13">
                  <c:v>95.831831831831835</c:v>
                </c:pt>
                <c:pt idx="14">
                  <c:v>93.849849849849846</c:v>
                </c:pt>
                <c:pt idx="15">
                  <c:v>94.126126126126124</c:v>
                </c:pt>
                <c:pt idx="16">
                  <c:v>93.933933933933929</c:v>
                </c:pt>
                <c:pt idx="17">
                  <c:v>93.261261261261268</c:v>
                </c:pt>
                <c:pt idx="18">
                  <c:v>96.76876876876878</c:v>
                </c:pt>
                <c:pt idx="19">
                  <c:v>98.702702702702709</c:v>
                </c:pt>
                <c:pt idx="20">
                  <c:v>98.666666666666671</c:v>
                </c:pt>
                <c:pt idx="21">
                  <c:v>99.35135135135134</c:v>
                </c:pt>
                <c:pt idx="22">
                  <c:v>98.606606606606604</c:v>
                </c:pt>
                <c:pt idx="23">
                  <c:v>96.50450450450451</c:v>
                </c:pt>
                <c:pt idx="24">
                  <c:v>96.516516516516518</c:v>
                </c:pt>
                <c:pt idx="25">
                  <c:v>93.369369369369366</c:v>
                </c:pt>
                <c:pt idx="26">
                  <c:v>92.972972972972983</c:v>
                </c:pt>
                <c:pt idx="27">
                  <c:v>89.705705705705725</c:v>
                </c:pt>
                <c:pt idx="28">
                  <c:v>93.501501501501508</c:v>
                </c:pt>
                <c:pt idx="29">
                  <c:v>92.996996996996998</c:v>
                </c:pt>
                <c:pt idx="30">
                  <c:v>89.981981981981974</c:v>
                </c:pt>
                <c:pt idx="31">
                  <c:v>85.201201201201201</c:v>
                </c:pt>
                <c:pt idx="32">
                  <c:v>88.756756756756758</c:v>
                </c:pt>
                <c:pt idx="33">
                  <c:v>87.843843843843842</c:v>
                </c:pt>
                <c:pt idx="34">
                  <c:v>92.168168168168179</c:v>
                </c:pt>
                <c:pt idx="35">
                  <c:v>91.3993993993994</c:v>
                </c:pt>
                <c:pt idx="36">
                  <c:v>93.273273273273276</c:v>
                </c:pt>
                <c:pt idx="37">
                  <c:v>96.204204204204217</c:v>
                </c:pt>
                <c:pt idx="38">
                  <c:v>96.852852852852848</c:v>
                </c:pt>
                <c:pt idx="39">
                  <c:v>98.882882882882868</c:v>
                </c:pt>
                <c:pt idx="40">
                  <c:v>99.85585585585585</c:v>
                </c:pt>
                <c:pt idx="41">
                  <c:v>97.897897897897906</c:v>
                </c:pt>
                <c:pt idx="42">
                  <c:v>95.147147147147138</c:v>
                </c:pt>
                <c:pt idx="43">
                  <c:v>96.156156156156143</c:v>
                </c:pt>
                <c:pt idx="44">
                  <c:v>92.048048048048045</c:v>
                </c:pt>
                <c:pt idx="45">
                  <c:v>90.246246246246244</c:v>
                </c:pt>
                <c:pt idx="46">
                  <c:v>89.033033033033036</c:v>
                </c:pt>
                <c:pt idx="47">
                  <c:v>89.645645645645644</c:v>
                </c:pt>
                <c:pt idx="48">
                  <c:v>88.612612612612608</c:v>
                </c:pt>
                <c:pt idx="49">
                  <c:v>89.813813813813809</c:v>
                </c:pt>
                <c:pt idx="50">
                  <c:v>92.348348348348338</c:v>
                </c:pt>
                <c:pt idx="51">
                  <c:v>90.77477477477477</c:v>
                </c:pt>
                <c:pt idx="52">
                  <c:v>92.912912912912901</c:v>
                </c:pt>
                <c:pt idx="53">
                  <c:v>92.768768768768766</c:v>
                </c:pt>
                <c:pt idx="54">
                  <c:v>94.090090090090087</c:v>
                </c:pt>
                <c:pt idx="55">
                  <c:v>93.897897897897892</c:v>
                </c:pt>
                <c:pt idx="56">
                  <c:v>92.012012012012008</c:v>
                </c:pt>
                <c:pt idx="57">
                  <c:v>88.816816816816811</c:v>
                </c:pt>
                <c:pt idx="58">
                  <c:v>88.564564564564577</c:v>
                </c:pt>
                <c:pt idx="59">
                  <c:v>88.096096096096105</c:v>
                </c:pt>
                <c:pt idx="60">
                  <c:v>90.138138138138146</c:v>
                </c:pt>
                <c:pt idx="61">
                  <c:v>91.063063063063069</c:v>
                </c:pt>
                <c:pt idx="62">
                  <c:v>90.522522522522522</c:v>
                </c:pt>
                <c:pt idx="63">
                  <c:v>92.900900900900908</c:v>
                </c:pt>
                <c:pt idx="64">
                  <c:v>95.087087087087085</c:v>
                </c:pt>
                <c:pt idx="65">
                  <c:v>94.306306306306311</c:v>
                </c:pt>
                <c:pt idx="66">
                  <c:v>94.078078078078065</c:v>
                </c:pt>
                <c:pt idx="67">
                  <c:v>92.768768768768766</c:v>
                </c:pt>
                <c:pt idx="68">
                  <c:v>93.981981981981974</c:v>
                </c:pt>
                <c:pt idx="69">
                  <c:v>91.603603603603617</c:v>
                </c:pt>
                <c:pt idx="70">
                  <c:v>90.438438438438453</c:v>
                </c:pt>
                <c:pt idx="71">
                  <c:v>90.462462462462469</c:v>
                </c:pt>
                <c:pt idx="72">
                  <c:v>93.165165165165163</c:v>
                </c:pt>
                <c:pt idx="73">
                  <c:v>92.732732732732742</c:v>
                </c:pt>
                <c:pt idx="74">
                  <c:v>93.477477477477464</c:v>
                </c:pt>
                <c:pt idx="75">
                  <c:v>93.585585585585591</c:v>
                </c:pt>
                <c:pt idx="76">
                  <c:v>93.417417417417411</c:v>
                </c:pt>
                <c:pt idx="77">
                  <c:v>93.237237237237252</c:v>
                </c:pt>
                <c:pt idx="78">
                  <c:v>94.306306306306311</c:v>
                </c:pt>
                <c:pt idx="79">
                  <c:v>95.975975975975985</c:v>
                </c:pt>
                <c:pt idx="80">
                  <c:v>96.432432432432435</c:v>
                </c:pt>
                <c:pt idx="81">
                  <c:v>97.945945945945951</c:v>
                </c:pt>
                <c:pt idx="82">
                  <c:v>98.162162162162161</c:v>
                </c:pt>
                <c:pt idx="83">
                  <c:v>99.3993993993994</c:v>
                </c:pt>
                <c:pt idx="84">
                  <c:v>97.537537537537546</c:v>
                </c:pt>
                <c:pt idx="85">
                  <c:v>99.3993993993994</c:v>
                </c:pt>
                <c:pt idx="86">
                  <c:v>98.018018018018012</c:v>
                </c:pt>
                <c:pt idx="87">
                  <c:v>98.522522522522522</c:v>
                </c:pt>
                <c:pt idx="88">
                  <c:v>100</c:v>
                </c:pt>
                <c:pt idx="89">
                  <c:v>101.68168168168168</c:v>
                </c:pt>
                <c:pt idx="90">
                  <c:v>99.915915915915917</c:v>
                </c:pt>
                <c:pt idx="91">
                  <c:v>99.207207207207219</c:v>
                </c:pt>
                <c:pt idx="92">
                  <c:v>97.549549549549539</c:v>
                </c:pt>
                <c:pt idx="93">
                  <c:v>98.834834834834837</c:v>
                </c:pt>
                <c:pt idx="94">
                  <c:v>101.50150150150151</c:v>
                </c:pt>
                <c:pt idx="95">
                  <c:v>101.21321321321321</c:v>
                </c:pt>
                <c:pt idx="96">
                  <c:v>101.98198198198199</c:v>
                </c:pt>
                <c:pt idx="97">
                  <c:v>99.75975975975976</c:v>
                </c:pt>
                <c:pt idx="98">
                  <c:v>99.483483483483468</c:v>
                </c:pt>
                <c:pt idx="99">
                  <c:v>98.462462462462469</c:v>
                </c:pt>
                <c:pt idx="100">
                  <c:v>100.25225225225225</c:v>
                </c:pt>
                <c:pt idx="101">
                  <c:v>96.984984984984976</c:v>
                </c:pt>
                <c:pt idx="102">
                  <c:v>95.183183183183175</c:v>
                </c:pt>
                <c:pt idx="103">
                  <c:v>99.123123123123108</c:v>
                </c:pt>
                <c:pt idx="104">
                  <c:v>99.339339339339332</c:v>
                </c:pt>
                <c:pt idx="105">
                  <c:v>100.84084084084084</c:v>
                </c:pt>
                <c:pt idx="106">
                  <c:v>101.51351351351352</c:v>
                </c:pt>
                <c:pt idx="107">
                  <c:v>102.75075075075075</c:v>
                </c:pt>
                <c:pt idx="108">
                  <c:v>104.0840840840841</c:v>
                </c:pt>
                <c:pt idx="109">
                  <c:v>105.52552552552552</c:v>
                </c:pt>
                <c:pt idx="110">
                  <c:v>105.62162162162163</c:v>
                </c:pt>
                <c:pt idx="111">
                  <c:v>105.99399399399398</c:v>
                </c:pt>
                <c:pt idx="112">
                  <c:v>105.14114114114115</c:v>
                </c:pt>
                <c:pt idx="113">
                  <c:v>106.49849849849848</c:v>
                </c:pt>
                <c:pt idx="114">
                  <c:v>106.94294294294295</c:v>
                </c:pt>
                <c:pt idx="115">
                  <c:v>109.45345345345345</c:v>
                </c:pt>
                <c:pt idx="116">
                  <c:v>110.81081081081081</c:v>
                </c:pt>
                <c:pt idx="117">
                  <c:v>111.95195195195195</c:v>
                </c:pt>
                <c:pt idx="118">
                  <c:v>112.92492492492494</c:v>
                </c:pt>
                <c:pt idx="119">
                  <c:v>113.76576576576576</c:v>
                </c:pt>
                <c:pt idx="120">
                  <c:v>114.28228228228228</c:v>
                </c:pt>
                <c:pt idx="121">
                  <c:v>114.42642642642645</c:v>
                </c:pt>
                <c:pt idx="122">
                  <c:v>114.07807807807808</c:v>
                </c:pt>
                <c:pt idx="123">
                  <c:v>117.11711711711712</c:v>
                </c:pt>
                <c:pt idx="124">
                  <c:v>117.72972972972973</c:v>
                </c:pt>
                <c:pt idx="125">
                  <c:v>116.21621621621621</c:v>
                </c:pt>
                <c:pt idx="126">
                  <c:v>117.1051051051051</c:v>
                </c:pt>
                <c:pt idx="127">
                  <c:v>113.48948948948949</c:v>
                </c:pt>
                <c:pt idx="128">
                  <c:v>115.69969969969969</c:v>
                </c:pt>
                <c:pt idx="129">
                  <c:v>115.42342342342342</c:v>
                </c:pt>
                <c:pt idx="130">
                  <c:v>117.69369369369369</c:v>
                </c:pt>
                <c:pt idx="131">
                  <c:v>118.42642642642642</c:v>
                </c:pt>
                <c:pt idx="132">
                  <c:v>118.57057057057057</c:v>
                </c:pt>
                <c:pt idx="133">
                  <c:v>116.9129129129129</c:v>
                </c:pt>
                <c:pt idx="134">
                  <c:v>119.87987987987987</c:v>
                </c:pt>
                <c:pt idx="135">
                  <c:v>121.17717717717717</c:v>
                </c:pt>
                <c:pt idx="136">
                  <c:v>122.07807807807806</c:v>
                </c:pt>
                <c:pt idx="137">
                  <c:v>122.59459459459461</c:v>
                </c:pt>
                <c:pt idx="138">
                  <c:v>122.72672672672672</c:v>
                </c:pt>
                <c:pt idx="139">
                  <c:v>124.07207207207207</c:v>
                </c:pt>
                <c:pt idx="140">
                  <c:v>121.4894894894895</c:v>
                </c:pt>
                <c:pt idx="141">
                  <c:v>120.68468468468467</c:v>
                </c:pt>
                <c:pt idx="142">
                  <c:v>116.92492492492492</c:v>
                </c:pt>
                <c:pt idx="143">
                  <c:v>117.26126126126127</c:v>
                </c:pt>
                <c:pt idx="144">
                  <c:v>121.21321321321321</c:v>
                </c:pt>
                <c:pt idx="145">
                  <c:v>121.58558558558559</c:v>
                </c:pt>
                <c:pt idx="146">
                  <c:v>122.6066066066066</c:v>
                </c:pt>
                <c:pt idx="147">
                  <c:v>118.3063063063063</c:v>
                </c:pt>
                <c:pt idx="148">
                  <c:v>122.37837837837837</c:v>
                </c:pt>
                <c:pt idx="149">
                  <c:v>122.82282282282281</c:v>
                </c:pt>
                <c:pt idx="150">
                  <c:v>124.55255255255256</c:v>
                </c:pt>
                <c:pt idx="151">
                  <c:v>125.40540540540542</c:v>
                </c:pt>
                <c:pt idx="152">
                  <c:v>127.36336336336336</c:v>
                </c:pt>
                <c:pt idx="153">
                  <c:v>129.05705705705705</c:v>
                </c:pt>
                <c:pt idx="154">
                  <c:v>128.56456456456456</c:v>
                </c:pt>
                <c:pt idx="155">
                  <c:v>126.59459459459458</c:v>
                </c:pt>
                <c:pt idx="156">
                  <c:v>131.92792792792793</c:v>
                </c:pt>
                <c:pt idx="157">
                  <c:v>131.53153153153156</c:v>
                </c:pt>
                <c:pt idx="158">
                  <c:v>135.15915915915915</c:v>
                </c:pt>
                <c:pt idx="159">
                  <c:v>135.14714714714714</c:v>
                </c:pt>
                <c:pt idx="160">
                  <c:v>136.54054054054055</c:v>
                </c:pt>
                <c:pt idx="161">
                  <c:v>136.08408408408411</c:v>
                </c:pt>
                <c:pt idx="162">
                  <c:v>134.35435435435434</c:v>
                </c:pt>
                <c:pt idx="163">
                  <c:v>134.75075075075077</c:v>
                </c:pt>
                <c:pt idx="164">
                  <c:v>135.56756756756755</c:v>
                </c:pt>
                <c:pt idx="165">
                  <c:v>134.2822822822823</c:v>
                </c:pt>
                <c:pt idx="166">
                  <c:v>137.62162162162161</c:v>
                </c:pt>
                <c:pt idx="167">
                  <c:v>137.75375375375376</c:v>
                </c:pt>
                <c:pt idx="168">
                  <c:v>139.4834834834835</c:v>
                </c:pt>
                <c:pt idx="169">
                  <c:v>139.15915915915915</c:v>
                </c:pt>
                <c:pt idx="170">
                  <c:v>139.0870870870871</c:v>
                </c:pt>
                <c:pt idx="171">
                  <c:v>139.15915915915915</c:v>
                </c:pt>
                <c:pt idx="172">
                  <c:v>135.90390390390391</c:v>
                </c:pt>
                <c:pt idx="173">
                  <c:v>127.60360360360362</c:v>
                </c:pt>
                <c:pt idx="174">
                  <c:v>126.12612612612612</c:v>
                </c:pt>
                <c:pt idx="175">
                  <c:v>127.54354354354356</c:v>
                </c:pt>
                <c:pt idx="176">
                  <c:v>126.13813813813815</c:v>
                </c:pt>
                <c:pt idx="177">
                  <c:v>114.87087087087087</c:v>
                </c:pt>
                <c:pt idx="178">
                  <c:v>113.23723723723724</c:v>
                </c:pt>
                <c:pt idx="179">
                  <c:v>115.05105105105105</c:v>
                </c:pt>
                <c:pt idx="180">
                  <c:v>119.06306306306307</c:v>
                </c:pt>
                <c:pt idx="181">
                  <c:v>123.35135135135135</c:v>
                </c:pt>
                <c:pt idx="182">
                  <c:v>124.16816816816818</c:v>
                </c:pt>
                <c:pt idx="183">
                  <c:v>130.13813813813815</c:v>
                </c:pt>
                <c:pt idx="184">
                  <c:v>126.21021021021019</c:v>
                </c:pt>
                <c:pt idx="185">
                  <c:v>127.93993993993995</c:v>
                </c:pt>
                <c:pt idx="186">
                  <c:v>129.46546546546546</c:v>
                </c:pt>
                <c:pt idx="187">
                  <c:v>127.85585585585586</c:v>
                </c:pt>
                <c:pt idx="188">
                  <c:v>127.43543543543542</c:v>
                </c:pt>
                <c:pt idx="189">
                  <c:v>129.38138138138137</c:v>
                </c:pt>
                <c:pt idx="190">
                  <c:v>129.50150150150151</c:v>
                </c:pt>
                <c:pt idx="191">
                  <c:v>130.49849849849849</c:v>
                </c:pt>
                <c:pt idx="192">
                  <c:v>131.72372372372371</c:v>
                </c:pt>
                <c:pt idx="193">
                  <c:v>132.66066066066065</c:v>
                </c:pt>
                <c:pt idx="194">
                  <c:v>131.30330330330332</c:v>
                </c:pt>
                <c:pt idx="195">
                  <c:v>133.41741741741743</c:v>
                </c:pt>
                <c:pt idx="196">
                  <c:v>134.67867867867869</c:v>
                </c:pt>
                <c:pt idx="197">
                  <c:v>135.4834834834835</c:v>
                </c:pt>
                <c:pt idx="198">
                  <c:v>134.76276276276275</c:v>
                </c:pt>
                <c:pt idx="199">
                  <c:v>134.65465465465465</c:v>
                </c:pt>
                <c:pt idx="200">
                  <c:v>137.22522522522522</c:v>
                </c:pt>
                <c:pt idx="201">
                  <c:v>137.80180180180179</c:v>
                </c:pt>
                <c:pt idx="202">
                  <c:v>137.95795795795794</c:v>
                </c:pt>
                <c:pt idx="203">
                  <c:v>140.25225225225228</c:v>
                </c:pt>
                <c:pt idx="204">
                  <c:v>138.99099099099098</c:v>
                </c:pt>
                <c:pt idx="205">
                  <c:v>138.6906906906907</c:v>
                </c:pt>
                <c:pt idx="206">
                  <c:v>142.58258258258257</c:v>
                </c:pt>
                <c:pt idx="207">
                  <c:v>144.15615615615616</c:v>
                </c:pt>
                <c:pt idx="208">
                  <c:v>140.1081081081081</c:v>
                </c:pt>
                <c:pt idx="209">
                  <c:v>142.10210210210209</c:v>
                </c:pt>
                <c:pt idx="210">
                  <c:v>139.51951951951952</c:v>
                </c:pt>
                <c:pt idx="211">
                  <c:v>143.63963963963963</c:v>
                </c:pt>
                <c:pt idx="212">
                  <c:v>144.01201201201201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FC-4F87-9CCC-661B1048DEF5}"/>
            </c:ext>
          </c:extLst>
        </c:ser>
        <c:ser>
          <c:idx val="1"/>
          <c:order val="1"/>
          <c:tx>
            <c:strRef>
              <c:f>Graph!$C$1</c:f>
              <c:strCache>
                <c:ptCount val="1"/>
                <c:pt idx="0">
                  <c:v>Index_France equity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Graph!$A$2:$A$214</c:f>
              <c:numCache>
                <c:formatCode>m/d/yyyy</c:formatCode>
                <c:ptCount val="213"/>
                <c:pt idx="0">
                  <c:v>44507</c:v>
                </c:pt>
                <c:pt idx="1">
                  <c:v>44514</c:v>
                </c:pt>
                <c:pt idx="2">
                  <c:v>44521</c:v>
                </c:pt>
                <c:pt idx="3">
                  <c:v>44528</c:v>
                </c:pt>
                <c:pt idx="4">
                  <c:v>44535</c:v>
                </c:pt>
                <c:pt idx="5">
                  <c:v>44542</c:v>
                </c:pt>
                <c:pt idx="6">
                  <c:v>44549</c:v>
                </c:pt>
                <c:pt idx="7">
                  <c:v>44556</c:v>
                </c:pt>
                <c:pt idx="8">
                  <c:v>44563</c:v>
                </c:pt>
                <c:pt idx="9">
                  <c:v>44570</c:v>
                </c:pt>
                <c:pt idx="10">
                  <c:v>44577</c:v>
                </c:pt>
                <c:pt idx="11">
                  <c:v>44584</c:v>
                </c:pt>
                <c:pt idx="12">
                  <c:v>44591</c:v>
                </c:pt>
                <c:pt idx="13">
                  <c:v>44598</c:v>
                </c:pt>
                <c:pt idx="14">
                  <c:v>44605</c:v>
                </c:pt>
                <c:pt idx="15">
                  <c:v>44612</c:v>
                </c:pt>
                <c:pt idx="16">
                  <c:v>44619</c:v>
                </c:pt>
                <c:pt idx="17">
                  <c:v>44626</c:v>
                </c:pt>
                <c:pt idx="18">
                  <c:v>44633</c:v>
                </c:pt>
                <c:pt idx="19">
                  <c:v>44640</c:v>
                </c:pt>
                <c:pt idx="20">
                  <c:v>44647</c:v>
                </c:pt>
                <c:pt idx="21">
                  <c:v>44654</c:v>
                </c:pt>
                <c:pt idx="22">
                  <c:v>44661</c:v>
                </c:pt>
                <c:pt idx="23">
                  <c:v>44668</c:v>
                </c:pt>
                <c:pt idx="24">
                  <c:v>44675</c:v>
                </c:pt>
                <c:pt idx="25">
                  <c:v>44682</c:v>
                </c:pt>
                <c:pt idx="26">
                  <c:v>44689</c:v>
                </c:pt>
                <c:pt idx="27">
                  <c:v>44696</c:v>
                </c:pt>
                <c:pt idx="28">
                  <c:v>44703</c:v>
                </c:pt>
                <c:pt idx="29">
                  <c:v>44710</c:v>
                </c:pt>
                <c:pt idx="30">
                  <c:v>44717</c:v>
                </c:pt>
                <c:pt idx="31">
                  <c:v>44724</c:v>
                </c:pt>
                <c:pt idx="32">
                  <c:v>44731</c:v>
                </c:pt>
                <c:pt idx="33">
                  <c:v>44738</c:v>
                </c:pt>
                <c:pt idx="34">
                  <c:v>44745</c:v>
                </c:pt>
                <c:pt idx="35">
                  <c:v>44752</c:v>
                </c:pt>
                <c:pt idx="36">
                  <c:v>44759</c:v>
                </c:pt>
                <c:pt idx="37">
                  <c:v>44766</c:v>
                </c:pt>
                <c:pt idx="38">
                  <c:v>44773</c:v>
                </c:pt>
                <c:pt idx="39">
                  <c:v>44780</c:v>
                </c:pt>
                <c:pt idx="40">
                  <c:v>44787</c:v>
                </c:pt>
                <c:pt idx="41">
                  <c:v>44794</c:v>
                </c:pt>
                <c:pt idx="42">
                  <c:v>44801</c:v>
                </c:pt>
                <c:pt idx="43">
                  <c:v>44808</c:v>
                </c:pt>
                <c:pt idx="44">
                  <c:v>44815</c:v>
                </c:pt>
                <c:pt idx="45">
                  <c:v>44822</c:v>
                </c:pt>
                <c:pt idx="46">
                  <c:v>44829</c:v>
                </c:pt>
                <c:pt idx="47">
                  <c:v>44836</c:v>
                </c:pt>
                <c:pt idx="48">
                  <c:v>44843</c:v>
                </c:pt>
                <c:pt idx="49">
                  <c:v>44850</c:v>
                </c:pt>
                <c:pt idx="50">
                  <c:v>44857</c:v>
                </c:pt>
                <c:pt idx="51">
                  <c:v>44864</c:v>
                </c:pt>
                <c:pt idx="52">
                  <c:v>44871</c:v>
                </c:pt>
                <c:pt idx="53">
                  <c:v>44878</c:v>
                </c:pt>
                <c:pt idx="54">
                  <c:v>44885</c:v>
                </c:pt>
                <c:pt idx="55">
                  <c:v>44892</c:v>
                </c:pt>
                <c:pt idx="56">
                  <c:v>44899</c:v>
                </c:pt>
                <c:pt idx="57">
                  <c:v>44906</c:v>
                </c:pt>
                <c:pt idx="58">
                  <c:v>44913</c:v>
                </c:pt>
                <c:pt idx="59">
                  <c:v>44920</c:v>
                </c:pt>
                <c:pt idx="60">
                  <c:v>44927</c:v>
                </c:pt>
                <c:pt idx="61">
                  <c:v>44934</c:v>
                </c:pt>
                <c:pt idx="62">
                  <c:v>44941</c:v>
                </c:pt>
                <c:pt idx="63">
                  <c:v>44948</c:v>
                </c:pt>
                <c:pt idx="64">
                  <c:v>44955</c:v>
                </c:pt>
                <c:pt idx="65">
                  <c:v>44962</c:v>
                </c:pt>
                <c:pt idx="66">
                  <c:v>44969</c:v>
                </c:pt>
                <c:pt idx="67">
                  <c:v>44976</c:v>
                </c:pt>
                <c:pt idx="68">
                  <c:v>44983</c:v>
                </c:pt>
                <c:pt idx="69">
                  <c:v>44990</c:v>
                </c:pt>
                <c:pt idx="70">
                  <c:v>44997</c:v>
                </c:pt>
                <c:pt idx="71">
                  <c:v>45004</c:v>
                </c:pt>
                <c:pt idx="72">
                  <c:v>45011</c:v>
                </c:pt>
                <c:pt idx="73">
                  <c:v>45018</c:v>
                </c:pt>
                <c:pt idx="74">
                  <c:v>45025</c:v>
                </c:pt>
                <c:pt idx="75">
                  <c:v>45032</c:v>
                </c:pt>
                <c:pt idx="76">
                  <c:v>45039</c:v>
                </c:pt>
                <c:pt idx="77">
                  <c:v>45046</c:v>
                </c:pt>
                <c:pt idx="78">
                  <c:v>45053</c:v>
                </c:pt>
                <c:pt idx="79">
                  <c:v>45060</c:v>
                </c:pt>
                <c:pt idx="80">
                  <c:v>45067</c:v>
                </c:pt>
                <c:pt idx="81">
                  <c:v>45074</c:v>
                </c:pt>
                <c:pt idx="82">
                  <c:v>45081</c:v>
                </c:pt>
                <c:pt idx="83">
                  <c:v>45088</c:v>
                </c:pt>
                <c:pt idx="84">
                  <c:v>45095</c:v>
                </c:pt>
                <c:pt idx="85">
                  <c:v>45102</c:v>
                </c:pt>
                <c:pt idx="86">
                  <c:v>45109</c:v>
                </c:pt>
                <c:pt idx="87">
                  <c:v>45116</c:v>
                </c:pt>
                <c:pt idx="88">
                  <c:v>45123</c:v>
                </c:pt>
                <c:pt idx="89">
                  <c:v>45130</c:v>
                </c:pt>
                <c:pt idx="90">
                  <c:v>45137</c:v>
                </c:pt>
                <c:pt idx="91">
                  <c:v>45144</c:v>
                </c:pt>
                <c:pt idx="92">
                  <c:v>45151</c:v>
                </c:pt>
                <c:pt idx="93">
                  <c:v>45158</c:v>
                </c:pt>
                <c:pt idx="94">
                  <c:v>45165</c:v>
                </c:pt>
                <c:pt idx="95">
                  <c:v>45172</c:v>
                </c:pt>
                <c:pt idx="96">
                  <c:v>45179</c:v>
                </c:pt>
                <c:pt idx="97">
                  <c:v>45186</c:v>
                </c:pt>
                <c:pt idx="98">
                  <c:v>45193</c:v>
                </c:pt>
                <c:pt idx="99">
                  <c:v>45200</c:v>
                </c:pt>
                <c:pt idx="100">
                  <c:v>45207</c:v>
                </c:pt>
                <c:pt idx="101">
                  <c:v>45214</c:v>
                </c:pt>
                <c:pt idx="102">
                  <c:v>45221</c:v>
                </c:pt>
                <c:pt idx="103">
                  <c:v>45228</c:v>
                </c:pt>
                <c:pt idx="104">
                  <c:v>45235</c:v>
                </c:pt>
                <c:pt idx="105">
                  <c:v>45242</c:v>
                </c:pt>
                <c:pt idx="106">
                  <c:v>45249</c:v>
                </c:pt>
                <c:pt idx="107">
                  <c:v>45256</c:v>
                </c:pt>
                <c:pt idx="108">
                  <c:v>45263</c:v>
                </c:pt>
                <c:pt idx="109">
                  <c:v>45270</c:v>
                </c:pt>
                <c:pt idx="110">
                  <c:v>45277</c:v>
                </c:pt>
                <c:pt idx="111">
                  <c:v>45284</c:v>
                </c:pt>
                <c:pt idx="112">
                  <c:v>45291</c:v>
                </c:pt>
                <c:pt idx="113">
                  <c:v>45298</c:v>
                </c:pt>
                <c:pt idx="114">
                  <c:v>45305</c:v>
                </c:pt>
                <c:pt idx="115">
                  <c:v>45312</c:v>
                </c:pt>
                <c:pt idx="116">
                  <c:v>45319</c:v>
                </c:pt>
                <c:pt idx="117">
                  <c:v>45326</c:v>
                </c:pt>
                <c:pt idx="118">
                  <c:v>45333</c:v>
                </c:pt>
                <c:pt idx="119">
                  <c:v>45340</c:v>
                </c:pt>
                <c:pt idx="120">
                  <c:v>45347</c:v>
                </c:pt>
                <c:pt idx="121">
                  <c:v>45354</c:v>
                </c:pt>
                <c:pt idx="122">
                  <c:v>45361</c:v>
                </c:pt>
                <c:pt idx="123">
                  <c:v>45368</c:v>
                </c:pt>
                <c:pt idx="124">
                  <c:v>45375</c:v>
                </c:pt>
                <c:pt idx="125">
                  <c:v>45382</c:v>
                </c:pt>
                <c:pt idx="126">
                  <c:v>45389</c:v>
                </c:pt>
                <c:pt idx="127">
                  <c:v>45396</c:v>
                </c:pt>
                <c:pt idx="128">
                  <c:v>45403</c:v>
                </c:pt>
                <c:pt idx="129">
                  <c:v>45410</c:v>
                </c:pt>
                <c:pt idx="130">
                  <c:v>45417</c:v>
                </c:pt>
                <c:pt idx="131">
                  <c:v>45424</c:v>
                </c:pt>
                <c:pt idx="132">
                  <c:v>45431</c:v>
                </c:pt>
                <c:pt idx="133">
                  <c:v>45438</c:v>
                </c:pt>
                <c:pt idx="134">
                  <c:v>45445</c:v>
                </c:pt>
                <c:pt idx="135">
                  <c:v>45452</c:v>
                </c:pt>
                <c:pt idx="136">
                  <c:v>45459</c:v>
                </c:pt>
                <c:pt idx="137">
                  <c:v>45466</c:v>
                </c:pt>
                <c:pt idx="138">
                  <c:v>45473</c:v>
                </c:pt>
                <c:pt idx="139">
                  <c:v>45480</c:v>
                </c:pt>
                <c:pt idx="140">
                  <c:v>45487</c:v>
                </c:pt>
                <c:pt idx="141">
                  <c:v>45494</c:v>
                </c:pt>
                <c:pt idx="142">
                  <c:v>45501</c:v>
                </c:pt>
                <c:pt idx="143">
                  <c:v>45508</c:v>
                </c:pt>
                <c:pt idx="144">
                  <c:v>45515</c:v>
                </c:pt>
                <c:pt idx="145">
                  <c:v>45522</c:v>
                </c:pt>
                <c:pt idx="146">
                  <c:v>45529</c:v>
                </c:pt>
                <c:pt idx="147">
                  <c:v>45536</c:v>
                </c:pt>
                <c:pt idx="148">
                  <c:v>45543</c:v>
                </c:pt>
                <c:pt idx="149">
                  <c:v>45550</c:v>
                </c:pt>
                <c:pt idx="150">
                  <c:v>45557</c:v>
                </c:pt>
                <c:pt idx="151">
                  <c:v>45564</c:v>
                </c:pt>
                <c:pt idx="152">
                  <c:v>45571</c:v>
                </c:pt>
                <c:pt idx="153">
                  <c:v>45578</c:v>
                </c:pt>
                <c:pt idx="154">
                  <c:v>45585</c:v>
                </c:pt>
                <c:pt idx="155">
                  <c:v>45592</c:v>
                </c:pt>
                <c:pt idx="156">
                  <c:v>45599</c:v>
                </c:pt>
                <c:pt idx="157">
                  <c:v>45606</c:v>
                </c:pt>
                <c:pt idx="158">
                  <c:v>45613</c:v>
                </c:pt>
                <c:pt idx="159">
                  <c:v>45620</c:v>
                </c:pt>
                <c:pt idx="160">
                  <c:v>45627</c:v>
                </c:pt>
                <c:pt idx="161">
                  <c:v>45634</c:v>
                </c:pt>
                <c:pt idx="162">
                  <c:v>45641</c:v>
                </c:pt>
                <c:pt idx="163">
                  <c:v>45648</c:v>
                </c:pt>
                <c:pt idx="164">
                  <c:v>45655</c:v>
                </c:pt>
                <c:pt idx="165">
                  <c:v>45662</c:v>
                </c:pt>
                <c:pt idx="166">
                  <c:v>45669</c:v>
                </c:pt>
                <c:pt idx="167">
                  <c:v>45676</c:v>
                </c:pt>
                <c:pt idx="168">
                  <c:v>45683</c:v>
                </c:pt>
                <c:pt idx="169">
                  <c:v>45690</c:v>
                </c:pt>
                <c:pt idx="170">
                  <c:v>45697</c:v>
                </c:pt>
                <c:pt idx="171">
                  <c:v>45704</c:v>
                </c:pt>
                <c:pt idx="172">
                  <c:v>45711</c:v>
                </c:pt>
                <c:pt idx="173">
                  <c:v>45718</c:v>
                </c:pt>
                <c:pt idx="174">
                  <c:v>45725</c:v>
                </c:pt>
                <c:pt idx="175">
                  <c:v>45732</c:v>
                </c:pt>
                <c:pt idx="176">
                  <c:v>45739</c:v>
                </c:pt>
                <c:pt idx="177">
                  <c:v>45746</c:v>
                </c:pt>
                <c:pt idx="178">
                  <c:v>45753</c:v>
                </c:pt>
                <c:pt idx="179">
                  <c:v>45760</c:v>
                </c:pt>
                <c:pt idx="180">
                  <c:v>45767</c:v>
                </c:pt>
                <c:pt idx="181">
                  <c:v>45774</c:v>
                </c:pt>
                <c:pt idx="182">
                  <c:v>45781</c:v>
                </c:pt>
                <c:pt idx="183">
                  <c:v>45788</c:v>
                </c:pt>
                <c:pt idx="184">
                  <c:v>45795</c:v>
                </c:pt>
                <c:pt idx="185">
                  <c:v>45802</c:v>
                </c:pt>
                <c:pt idx="186">
                  <c:v>45809</c:v>
                </c:pt>
                <c:pt idx="187">
                  <c:v>45816</c:v>
                </c:pt>
                <c:pt idx="188">
                  <c:v>45823</c:v>
                </c:pt>
                <c:pt idx="189">
                  <c:v>45830</c:v>
                </c:pt>
                <c:pt idx="190">
                  <c:v>45837</c:v>
                </c:pt>
                <c:pt idx="191">
                  <c:v>45844</c:v>
                </c:pt>
                <c:pt idx="192">
                  <c:v>45851</c:v>
                </c:pt>
                <c:pt idx="193">
                  <c:v>45858</c:v>
                </c:pt>
                <c:pt idx="194">
                  <c:v>45865</c:v>
                </c:pt>
                <c:pt idx="195">
                  <c:v>45872</c:v>
                </c:pt>
                <c:pt idx="196">
                  <c:v>45879</c:v>
                </c:pt>
                <c:pt idx="197">
                  <c:v>45886</c:v>
                </c:pt>
                <c:pt idx="198">
                  <c:v>45893</c:v>
                </c:pt>
                <c:pt idx="199">
                  <c:v>45900</c:v>
                </c:pt>
                <c:pt idx="200">
                  <c:v>45907</c:v>
                </c:pt>
                <c:pt idx="201">
                  <c:v>45914</c:v>
                </c:pt>
                <c:pt idx="202">
                  <c:v>45921</c:v>
                </c:pt>
                <c:pt idx="203">
                  <c:v>45928</c:v>
                </c:pt>
                <c:pt idx="204">
                  <c:v>45935</c:v>
                </c:pt>
                <c:pt idx="205">
                  <c:v>45942</c:v>
                </c:pt>
                <c:pt idx="206">
                  <c:v>45949</c:v>
                </c:pt>
                <c:pt idx="207">
                  <c:v>45956</c:v>
                </c:pt>
                <c:pt idx="208">
                  <c:v>45963</c:v>
                </c:pt>
                <c:pt idx="209">
                  <c:v>45970</c:v>
                </c:pt>
                <c:pt idx="210">
                  <c:v>45977</c:v>
                </c:pt>
                <c:pt idx="211">
                  <c:v>45984</c:v>
                </c:pt>
                <c:pt idx="212">
                  <c:v>45991</c:v>
                </c:pt>
              </c:numCache>
            </c:numRef>
          </c:cat>
          <c:val>
            <c:numRef>
              <c:f>Graph!$C$2:$C$214</c:f>
              <c:numCache>
                <c:formatCode>General</c:formatCode>
                <c:ptCount val="213"/>
                <c:pt idx="0">
                  <c:v>100</c:v>
                </c:pt>
                <c:pt idx="1">
                  <c:v>100.18389865140989</c:v>
                </c:pt>
                <c:pt idx="2">
                  <c:v>95.279934613812841</c:v>
                </c:pt>
                <c:pt idx="3">
                  <c:v>95.402533714752764</c:v>
                </c:pt>
                <c:pt idx="4">
                  <c:v>98.426644871270952</c:v>
                </c:pt>
                <c:pt idx="5">
                  <c:v>97.445852063751531</c:v>
                </c:pt>
                <c:pt idx="6">
                  <c:v>100.04086636697997</c:v>
                </c:pt>
                <c:pt idx="7">
                  <c:v>101.08295872496936</c:v>
                </c:pt>
                <c:pt idx="8">
                  <c:v>101.59378831221903</c:v>
                </c:pt>
                <c:pt idx="9">
                  <c:v>100.59256232120963</c:v>
                </c:pt>
                <c:pt idx="10">
                  <c:v>99.632202697180219</c:v>
                </c:pt>
                <c:pt idx="11">
                  <c:v>98.09971393543114</c:v>
                </c:pt>
                <c:pt idx="12">
                  <c:v>97.915815284021264</c:v>
                </c:pt>
                <c:pt idx="13">
                  <c:v>98.671843073150796</c:v>
                </c:pt>
                <c:pt idx="14">
                  <c:v>97.548017981201482</c:v>
                </c:pt>
                <c:pt idx="15">
                  <c:v>95.075602778912966</c:v>
                </c:pt>
                <c:pt idx="16">
                  <c:v>85.45157335512873</c:v>
                </c:pt>
                <c:pt idx="17">
                  <c:v>88.536984062116872</c:v>
                </c:pt>
                <c:pt idx="18">
                  <c:v>93.686146301593794</c:v>
                </c:pt>
                <c:pt idx="19">
                  <c:v>92.766653044544341</c:v>
                </c:pt>
                <c:pt idx="20">
                  <c:v>94.421740907233357</c:v>
                </c:pt>
                <c:pt idx="21">
                  <c:v>92.664487127094404</c:v>
                </c:pt>
                <c:pt idx="22">
                  <c:v>93.277482631794044</c:v>
                </c:pt>
                <c:pt idx="23">
                  <c:v>93.277482631794044</c:v>
                </c:pt>
                <c:pt idx="24">
                  <c:v>93.05271761340417</c:v>
                </c:pt>
                <c:pt idx="25">
                  <c:v>89.70167552104617</c:v>
                </c:pt>
                <c:pt idx="26">
                  <c:v>91.050265631385372</c:v>
                </c:pt>
                <c:pt idx="27">
                  <c:v>90.253371475275856</c:v>
                </c:pt>
                <c:pt idx="28">
                  <c:v>93.931344503473639</c:v>
                </c:pt>
                <c:pt idx="29">
                  <c:v>93.440948099713935</c:v>
                </c:pt>
                <c:pt idx="30">
                  <c:v>89.374744585206372</c:v>
                </c:pt>
                <c:pt idx="31">
                  <c:v>85.063342868818964</c:v>
                </c:pt>
                <c:pt idx="32">
                  <c:v>87.862689006947278</c:v>
                </c:pt>
                <c:pt idx="33">
                  <c:v>85.962402942378418</c:v>
                </c:pt>
                <c:pt idx="34">
                  <c:v>87.515324887617496</c:v>
                </c:pt>
                <c:pt idx="35">
                  <c:v>87.862689006947278</c:v>
                </c:pt>
                <c:pt idx="36">
                  <c:v>90.314671025745824</c:v>
                </c:pt>
                <c:pt idx="37">
                  <c:v>93.563547200653858</c:v>
                </c:pt>
                <c:pt idx="38">
                  <c:v>93.767879035553747</c:v>
                </c:pt>
                <c:pt idx="39">
                  <c:v>94.95300367797303</c:v>
                </c:pt>
                <c:pt idx="40">
                  <c:v>94.115243154883544</c:v>
                </c:pt>
                <c:pt idx="41">
                  <c:v>90.845933796485497</c:v>
                </c:pt>
                <c:pt idx="42">
                  <c:v>89.415610952186356</c:v>
                </c:pt>
                <c:pt idx="43">
                  <c:v>90.008173273395997</c:v>
                </c:pt>
                <c:pt idx="44">
                  <c:v>87.821822639967309</c:v>
                </c:pt>
                <c:pt idx="45">
                  <c:v>83.5104209235799</c:v>
                </c:pt>
                <c:pt idx="46">
                  <c:v>83.285655905190026</c:v>
                </c:pt>
                <c:pt idx="47">
                  <c:v>84.818144666939105</c:v>
                </c:pt>
                <c:pt idx="48">
                  <c:v>85.655905190028619</c:v>
                </c:pt>
                <c:pt idx="49">
                  <c:v>87.045361667347777</c:v>
                </c:pt>
                <c:pt idx="50">
                  <c:v>90.437270126685746</c:v>
                </c:pt>
                <c:pt idx="51">
                  <c:v>92.419288925214545</c:v>
                </c:pt>
                <c:pt idx="52">
                  <c:v>95.218635063342873</c:v>
                </c:pt>
                <c:pt idx="53">
                  <c:v>95.647731916632623</c:v>
                </c:pt>
                <c:pt idx="54">
                  <c:v>96.771557008581937</c:v>
                </c:pt>
                <c:pt idx="55">
                  <c:v>97.323252962811608</c:v>
                </c:pt>
                <c:pt idx="56">
                  <c:v>96.485492439722108</c:v>
                </c:pt>
                <c:pt idx="57">
                  <c:v>93.195749897834091</c:v>
                </c:pt>
                <c:pt idx="58">
                  <c:v>93.972210870453623</c:v>
                </c:pt>
                <c:pt idx="59">
                  <c:v>94.176542705353512</c:v>
                </c:pt>
                <c:pt idx="60">
                  <c:v>98.896608091540656</c:v>
                </c:pt>
                <c:pt idx="61">
                  <c:v>101.34859011033922</c:v>
                </c:pt>
                <c:pt idx="62">
                  <c:v>101.02165917449939</c:v>
                </c:pt>
                <c:pt idx="63">
                  <c:v>102.53371475275847</c:v>
                </c:pt>
                <c:pt idx="64">
                  <c:v>104.41356763383736</c:v>
                </c:pt>
                <c:pt idx="65">
                  <c:v>102.81977932161833</c:v>
                </c:pt>
                <c:pt idx="66">
                  <c:v>105.88475684511647</c:v>
                </c:pt>
                <c:pt idx="67">
                  <c:v>103.55537392725786</c:v>
                </c:pt>
                <c:pt idx="68">
                  <c:v>105.63955864323663</c:v>
                </c:pt>
                <c:pt idx="69">
                  <c:v>103.98447078054762</c:v>
                </c:pt>
                <c:pt idx="70">
                  <c:v>99.877400899060092</c:v>
                </c:pt>
                <c:pt idx="71">
                  <c:v>101.1646914589293</c:v>
                </c:pt>
                <c:pt idx="72">
                  <c:v>105.47609317531672</c:v>
                </c:pt>
                <c:pt idx="73">
                  <c:v>105.63955864323663</c:v>
                </c:pt>
                <c:pt idx="74">
                  <c:v>108.19370657948511</c:v>
                </c:pt>
                <c:pt idx="75">
                  <c:v>109.1540662035145</c:v>
                </c:pt>
                <c:pt idx="76">
                  <c:v>108.76583571720472</c:v>
                </c:pt>
                <c:pt idx="77">
                  <c:v>108.05067429505517</c:v>
                </c:pt>
                <c:pt idx="78">
                  <c:v>108.13240702901513</c:v>
                </c:pt>
                <c:pt idx="79">
                  <c:v>109.31753167143441</c:v>
                </c:pt>
                <c:pt idx="80">
                  <c:v>107.21291377196567</c:v>
                </c:pt>
                <c:pt idx="81">
                  <c:v>107.0290151205558</c:v>
                </c:pt>
                <c:pt idx="82">
                  <c:v>106.25255414793627</c:v>
                </c:pt>
                <c:pt idx="83">
                  <c:v>108.78626890069474</c:v>
                </c:pt>
                <c:pt idx="84">
                  <c:v>105.4965263588067</c:v>
                </c:pt>
                <c:pt idx="85">
                  <c:v>108.80670208418472</c:v>
                </c:pt>
                <c:pt idx="86">
                  <c:v>104.69963220269717</c:v>
                </c:pt>
                <c:pt idx="87">
                  <c:v>108.54107069881486</c:v>
                </c:pt>
                <c:pt idx="88">
                  <c:v>109.31753167143441</c:v>
                </c:pt>
                <c:pt idx="89">
                  <c:v>109.76706170821416</c:v>
                </c:pt>
                <c:pt idx="90">
                  <c:v>107.31507968941563</c:v>
                </c:pt>
                <c:pt idx="91">
                  <c:v>107.68287699223539</c:v>
                </c:pt>
                <c:pt idx="92">
                  <c:v>105.10829587249692</c:v>
                </c:pt>
                <c:pt idx="93">
                  <c:v>106.06865549652636</c:v>
                </c:pt>
                <c:pt idx="94">
                  <c:v>107.11074785451574</c:v>
                </c:pt>
                <c:pt idx="95">
                  <c:v>106.17082141397631</c:v>
                </c:pt>
                <c:pt idx="96">
                  <c:v>107.88720882713527</c:v>
                </c:pt>
                <c:pt idx="97">
                  <c:v>105.00612995504702</c:v>
                </c:pt>
                <c:pt idx="98">
                  <c:v>104.20923579893748</c:v>
                </c:pt>
                <c:pt idx="99">
                  <c:v>103.16714344094811</c:v>
                </c:pt>
                <c:pt idx="100">
                  <c:v>102.04331834899878</c:v>
                </c:pt>
                <c:pt idx="101">
                  <c:v>99.489170412750312</c:v>
                </c:pt>
                <c:pt idx="102">
                  <c:v>99.121373109930531</c:v>
                </c:pt>
                <c:pt idx="103">
                  <c:v>102.84021250510831</c:v>
                </c:pt>
                <c:pt idx="104">
                  <c:v>102.81977932161833</c:v>
                </c:pt>
                <c:pt idx="105">
                  <c:v>105.63955864323663</c:v>
                </c:pt>
                <c:pt idx="106">
                  <c:v>106.5181855333061</c:v>
                </c:pt>
                <c:pt idx="107">
                  <c:v>107.17204740498572</c:v>
                </c:pt>
                <c:pt idx="108">
                  <c:v>110.03269309358399</c:v>
                </c:pt>
                <c:pt idx="109">
                  <c:v>111.23825091949327</c:v>
                </c:pt>
                <c:pt idx="110">
                  <c:v>110.8500204331835</c:v>
                </c:pt>
                <c:pt idx="111">
                  <c:v>110.74785451573356</c:v>
                </c:pt>
                <c:pt idx="112">
                  <c:v>108.60237024928483</c:v>
                </c:pt>
                <c:pt idx="113">
                  <c:v>109.1540662035145</c:v>
                </c:pt>
                <c:pt idx="114">
                  <c:v>107.86677564364528</c:v>
                </c:pt>
                <c:pt idx="115">
                  <c:v>111.91254597466286</c:v>
                </c:pt>
                <c:pt idx="116">
                  <c:v>111.15651818553332</c:v>
                </c:pt>
                <c:pt idx="117">
                  <c:v>111.74908050674294</c:v>
                </c:pt>
                <c:pt idx="118">
                  <c:v>113.40416836943197</c:v>
                </c:pt>
                <c:pt idx="119">
                  <c:v>116.22394769105027</c:v>
                </c:pt>
                <c:pt idx="120">
                  <c:v>115.6926849203106</c:v>
                </c:pt>
                <c:pt idx="121">
                  <c:v>116.77564364527994</c:v>
                </c:pt>
                <c:pt idx="122">
                  <c:v>118.71679607682877</c:v>
                </c:pt>
                <c:pt idx="123">
                  <c:v>118.38986514098897</c:v>
                </c:pt>
                <c:pt idx="124">
                  <c:v>119.39109113199837</c:v>
                </c:pt>
                <c:pt idx="125">
                  <c:v>117.22517368205968</c:v>
                </c:pt>
                <c:pt idx="126">
                  <c:v>116.36697997548021</c:v>
                </c:pt>
                <c:pt idx="127">
                  <c:v>116.59174499387007</c:v>
                </c:pt>
                <c:pt idx="128">
                  <c:v>118.14466693910913</c:v>
                </c:pt>
                <c:pt idx="129">
                  <c:v>117.28647323252963</c:v>
                </c:pt>
                <c:pt idx="130">
                  <c:v>121.47527584797713</c:v>
                </c:pt>
                <c:pt idx="131">
                  <c:v>120.73968124233755</c:v>
                </c:pt>
                <c:pt idx="132">
                  <c:v>120.16755210461791</c:v>
                </c:pt>
                <c:pt idx="133">
                  <c:v>119.16632611360851</c:v>
                </c:pt>
                <c:pt idx="134">
                  <c:v>119.53412341642829</c:v>
                </c:pt>
                <c:pt idx="135">
                  <c:v>112.11687780956272</c:v>
                </c:pt>
                <c:pt idx="136">
                  <c:v>114.28279525950143</c:v>
                </c:pt>
                <c:pt idx="137">
                  <c:v>112.07601144258277</c:v>
                </c:pt>
                <c:pt idx="138">
                  <c:v>115.1614221495709</c:v>
                </c:pt>
                <c:pt idx="139">
                  <c:v>115.89701675521047</c:v>
                </c:pt>
                <c:pt idx="140">
                  <c:v>112.97507151614221</c:v>
                </c:pt>
                <c:pt idx="141">
                  <c:v>113.19983653453207</c:v>
                </c:pt>
                <c:pt idx="142">
                  <c:v>109.46056395586432</c:v>
                </c:pt>
                <c:pt idx="143">
                  <c:v>109.6853289742542</c:v>
                </c:pt>
                <c:pt idx="144">
                  <c:v>112.3416428279526</c:v>
                </c:pt>
                <c:pt idx="145">
                  <c:v>114.42582754393136</c:v>
                </c:pt>
                <c:pt idx="146">
                  <c:v>115.20228851655089</c:v>
                </c:pt>
                <c:pt idx="147">
                  <c:v>111.09521863506335</c:v>
                </c:pt>
                <c:pt idx="148">
                  <c:v>112.8320392317123</c:v>
                </c:pt>
                <c:pt idx="149">
                  <c:v>113.44503473641194</c:v>
                </c:pt>
                <c:pt idx="150">
                  <c:v>117.8586023702493</c:v>
                </c:pt>
                <c:pt idx="151">
                  <c:v>114.32366162648142</c:v>
                </c:pt>
                <c:pt idx="152">
                  <c:v>114.87535758071108</c:v>
                </c:pt>
                <c:pt idx="153">
                  <c:v>115.22272170004086</c:v>
                </c:pt>
                <c:pt idx="154">
                  <c:v>113.38373518594199</c:v>
                </c:pt>
                <c:pt idx="155">
                  <c:v>112.05557825909278</c:v>
                </c:pt>
                <c:pt idx="156">
                  <c:v>110.95218635063343</c:v>
                </c:pt>
                <c:pt idx="157">
                  <c:v>109.93052717613405</c:v>
                </c:pt>
                <c:pt idx="158">
                  <c:v>109.74662852472417</c:v>
                </c:pt>
                <c:pt idx="159">
                  <c:v>109.44013077237436</c:v>
                </c:pt>
                <c:pt idx="160">
                  <c:v>112.46424192889253</c:v>
                </c:pt>
                <c:pt idx="161">
                  <c:v>112.19861054352268</c:v>
                </c:pt>
                <c:pt idx="162">
                  <c:v>110.23702492848386</c:v>
                </c:pt>
                <c:pt idx="163">
                  <c:v>111.34041683694321</c:v>
                </c:pt>
                <c:pt idx="164">
                  <c:v>110.38005721291377</c:v>
                </c:pt>
                <c:pt idx="165">
                  <c:v>112.52554147936249</c:v>
                </c:pt>
                <c:pt idx="166">
                  <c:v>116.73477727829997</c:v>
                </c:pt>
                <c:pt idx="167">
                  <c:v>119.94278708622805</c:v>
                </c:pt>
                <c:pt idx="168">
                  <c:v>120.31058438904782</c:v>
                </c:pt>
                <c:pt idx="169">
                  <c:v>120.69881487535758</c:v>
                </c:pt>
                <c:pt idx="170">
                  <c:v>123.62076011442585</c:v>
                </c:pt>
                <c:pt idx="171">
                  <c:v>123.1712300776461</c:v>
                </c:pt>
                <c:pt idx="172">
                  <c:v>122.78299959133633</c:v>
                </c:pt>
                <c:pt idx="173">
                  <c:v>123.04863097670618</c:v>
                </c:pt>
                <c:pt idx="174">
                  <c:v>121.70004086636699</c:v>
                </c:pt>
                <c:pt idx="175">
                  <c:v>121.72047404985697</c:v>
                </c:pt>
                <c:pt idx="176">
                  <c:v>120.024519820188</c:v>
                </c:pt>
                <c:pt idx="177">
                  <c:v>110.40049039640377</c:v>
                </c:pt>
                <c:pt idx="178">
                  <c:v>108.19370657948511</c:v>
                </c:pt>
                <c:pt idx="179">
                  <c:v>110.78872088271352</c:v>
                </c:pt>
                <c:pt idx="180">
                  <c:v>115.28402125051085</c:v>
                </c:pt>
                <c:pt idx="181">
                  <c:v>119.08459337964857</c:v>
                </c:pt>
                <c:pt idx="182">
                  <c:v>119.4932570494483</c:v>
                </c:pt>
                <c:pt idx="183">
                  <c:v>122.02697180220679</c:v>
                </c:pt>
                <c:pt idx="184">
                  <c:v>120.37188393951777</c:v>
                </c:pt>
                <c:pt idx="185">
                  <c:v>120.92357989374744</c:v>
                </c:pt>
                <c:pt idx="186">
                  <c:v>121.70004086636699</c:v>
                </c:pt>
                <c:pt idx="187">
                  <c:v>119.8406211687781</c:v>
                </c:pt>
                <c:pt idx="188">
                  <c:v>118.59419697588885</c:v>
                </c:pt>
                <c:pt idx="189">
                  <c:v>120.024519820188</c:v>
                </c:pt>
                <c:pt idx="190">
                  <c:v>120.31058438904782</c:v>
                </c:pt>
                <c:pt idx="191">
                  <c:v>122.19043727012668</c:v>
                </c:pt>
                <c:pt idx="192">
                  <c:v>121.9861054352268</c:v>
                </c:pt>
                <c:pt idx="193">
                  <c:v>122.12913771965674</c:v>
                </c:pt>
                <c:pt idx="194">
                  <c:v>117.67470371883941</c:v>
                </c:pt>
                <c:pt idx="195">
                  <c:v>120.71924805884757</c:v>
                </c:pt>
                <c:pt idx="196">
                  <c:v>123.45729464650594</c:v>
                </c:pt>
                <c:pt idx="197">
                  <c:v>124.27462198610544</c:v>
                </c:pt>
                <c:pt idx="198">
                  <c:v>120.41275030649776</c:v>
                </c:pt>
                <c:pt idx="199">
                  <c:v>119.90192071924805</c:v>
                </c:pt>
                <c:pt idx="200">
                  <c:v>122.02697180220679</c:v>
                </c:pt>
                <c:pt idx="201">
                  <c:v>122.29260318757665</c:v>
                </c:pt>
                <c:pt idx="202">
                  <c:v>122.72170004086638</c:v>
                </c:pt>
                <c:pt idx="203">
                  <c:v>125.84797711483451</c:v>
                </c:pt>
                <c:pt idx="204">
                  <c:v>123.25296281160605</c:v>
                </c:pt>
                <c:pt idx="205">
                  <c:v>127.1557008581937</c:v>
                </c:pt>
                <c:pt idx="206">
                  <c:v>127.95259501430323</c:v>
                </c:pt>
                <c:pt idx="207">
                  <c:v>126.46097261953413</c:v>
                </c:pt>
                <c:pt idx="208">
                  <c:v>123.78422558234574</c:v>
                </c:pt>
                <c:pt idx="209">
                  <c:v>127.21700040866367</c:v>
                </c:pt>
                <c:pt idx="210">
                  <c:v>124.4993870044953</c:v>
                </c:pt>
                <c:pt idx="211">
                  <c:v>126.72660400490399</c:v>
                </c:pt>
                <c:pt idx="212">
                  <c:v>126.42010625255415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FC-4F87-9CCC-661B1048DEF5}"/>
            </c:ext>
          </c:extLst>
        </c:ser>
        <c:ser>
          <c:idx val="2"/>
          <c:order val="2"/>
          <c:tx>
            <c:strRef>
              <c:f>Graph!$D$1</c:f>
              <c:strCache>
                <c:ptCount val="1"/>
                <c:pt idx="0">
                  <c:v>Index_Gold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Graph!$A$2:$A$214</c:f>
              <c:numCache>
                <c:formatCode>m/d/yyyy</c:formatCode>
                <c:ptCount val="213"/>
                <c:pt idx="0">
                  <c:v>44507</c:v>
                </c:pt>
                <c:pt idx="1">
                  <c:v>44514</c:v>
                </c:pt>
                <c:pt idx="2">
                  <c:v>44521</c:v>
                </c:pt>
                <c:pt idx="3">
                  <c:v>44528</c:v>
                </c:pt>
                <c:pt idx="4">
                  <c:v>44535</c:v>
                </c:pt>
                <c:pt idx="5">
                  <c:v>44542</c:v>
                </c:pt>
                <c:pt idx="6">
                  <c:v>44549</c:v>
                </c:pt>
                <c:pt idx="7">
                  <c:v>44556</c:v>
                </c:pt>
                <c:pt idx="8">
                  <c:v>44563</c:v>
                </c:pt>
                <c:pt idx="9">
                  <c:v>44570</c:v>
                </c:pt>
                <c:pt idx="10">
                  <c:v>44577</c:v>
                </c:pt>
                <c:pt idx="11">
                  <c:v>44584</c:v>
                </c:pt>
                <c:pt idx="12">
                  <c:v>44591</c:v>
                </c:pt>
                <c:pt idx="13">
                  <c:v>44598</c:v>
                </c:pt>
                <c:pt idx="14">
                  <c:v>44605</c:v>
                </c:pt>
                <c:pt idx="15">
                  <c:v>44612</c:v>
                </c:pt>
                <c:pt idx="16">
                  <c:v>44619</c:v>
                </c:pt>
                <c:pt idx="17">
                  <c:v>44626</c:v>
                </c:pt>
                <c:pt idx="18">
                  <c:v>44633</c:v>
                </c:pt>
                <c:pt idx="19">
                  <c:v>44640</c:v>
                </c:pt>
                <c:pt idx="20">
                  <c:v>44647</c:v>
                </c:pt>
                <c:pt idx="21">
                  <c:v>44654</c:v>
                </c:pt>
                <c:pt idx="22">
                  <c:v>44661</c:v>
                </c:pt>
                <c:pt idx="23">
                  <c:v>44668</c:v>
                </c:pt>
                <c:pt idx="24">
                  <c:v>44675</c:v>
                </c:pt>
                <c:pt idx="25">
                  <c:v>44682</c:v>
                </c:pt>
                <c:pt idx="26">
                  <c:v>44689</c:v>
                </c:pt>
                <c:pt idx="27">
                  <c:v>44696</c:v>
                </c:pt>
                <c:pt idx="28">
                  <c:v>44703</c:v>
                </c:pt>
                <c:pt idx="29">
                  <c:v>44710</c:v>
                </c:pt>
                <c:pt idx="30">
                  <c:v>44717</c:v>
                </c:pt>
                <c:pt idx="31">
                  <c:v>44724</c:v>
                </c:pt>
                <c:pt idx="32">
                  <c:v>44731</c:v>
                </c:pt>
                <c:pt idx="33">
                  <c:v>44738</c:v>
                </c:pt>
                <c:pt idx="34">
                  <c:v>44745</c:v>
                </c:pt>
                <c:pt idx="35">
                  <c:v>44752</c:v>
                </c:pt>
                <c:pt idx="36">
                  <c:v>44759</c:v>
                </c:pt>
                <c:pt idx="37">
                  <c:v>44766</c:v>
                </c:pt>
                <c:pt idx="38">
                  <c:v>44773</c:v>
                </c:pt>
                <c:pt idx="39">
                  <c:v>44780</c:v>
                </c:pt>
                <c:pt idx="40">
                  <c:v>44787</c:v>
                </c:pt>
                <c:pt idx="41">
                  <c:v>44794</c:v>
                </c:pt>
                <c:pt idx="42">
                  <c:v>44801</c:v>
                </c:pt>
                <c:pt idx="43">
                  <c:v>44808</c:v>
                </c:pt>
                <c:pt idx="44">
                  <c:v>44815</c:v>
                </c:pt>
                <c:pt idx="45">
                  <c:v>44822</c:v>
                </c:pt>
                <c:pt idx="46">
                  <c:v>44829</c:v>
                </c:pt>
                <c:pt idx="47">
                  <c:v>44836</c:v>
                </c:pt>
                <c:pt idx="48">
                  <c:v>44843</c:v>
                </c:pt>
                <c:pt idx="49">
                  <c:v>44850</c:v>
                </c:pt>
                <c:pt idx="50">
                  <c:v>44857</c:v>
                </c:pt>
                <c:pt idx="51">
                  <c:v>44864</c:v>
                </c:pt>
                <c:pt idx="52">
                  <c:v>44871</c:v>
                </c:pt>
                <c:pt idx="53">
                  <c:v>44878</c:v>
                </c:pt>
                <c:pt idx="54">
                  <c:v>44885</c:v>
                </c:pt>
                <c:pt idx="55">
                  <c:v>44892</c:v>
                </c:pt>
                <c:pt idx="56">
                  <c:v>44899</c:v>
                </c:pt>
                <c:pt idx="57">
                  <c:v>44906</c:v>
                </c:pt>
                <c:pt idx="58">
                  <c:v>44913</c:v>
                </c:pt>
                <c:pt idx="59">
                  <c:v>44920</c:v>
                </c:pt>
                <c:pt idx="60">
                  <c:v>44927</c:v>
                </c:pt>
                <c:pt idx="61">
                  <c:v>44934</c:v>
                </c:pt>
                <c:pt idx="62">
                  <c:v>44941</c:v>
                </c:pt>
                <c:pt idx="63">
                  <c:v>44948</c:v>
                </c:pt>
                <c:pt idx="64">
                  <c:v>44955</c:v>
                </c:pt>
                <c:pt idx="65">
                  <c:v>44962</c:v>
                </c:pt>
                <c:pt idx="66">
                  <c:v>44969</c:v>
                </c:pt>
                <c:pt idx="67">
                  <c:v>44976</c:v>
                </c:pt>
                <c:pt idx="68">
                  <c:v>44983</c:v>
                </c:pt>
                <c:pt idx="69">
                  <c:v>44990</c:v>
                </c:pt>
                <c:pt idx="70">
                  <c:v>44997</c:v>
                </c:pt>
                <c:pt idx="71">
                  <c:v>45004</c:v>
                </c:pt>
                <c:pt idx="72">
                  <c:v>45011</c:v>
                </c:pt>
                <c:pt idx="73">
                  <c:v>45018</c:v>
                </c:pt>
                <c:pt idx="74">
                  <c:v>45025</c:v>
                </c:pt>
                <c:pt idx="75">
                  <c:v>45032</c:v>
                </c:pt>
                <c:pt idx="76">
                  <c:v>45039</c:v>
                </c:pt>
                <c:pt idx="77">
                  <c:v>45046</c:v>
                </c:pt>
                <c:pt idx="78">
                  <c:v>45053</c:v>
                </c:pt>
                <c:pt idx="79">
                  <c:v>45060</c:v>
                </c:pt>
                <c:pt idx="80">
                  <c:v>45067</c:v>
                </c:pt>
                <c:pt idx="81">
                  <c:v>45074</c:v>
                </c:pt>
                <c:pt idx="82">
                  <c:v>45081</c:v>
                </c:pt>
                <c:pt idx="83">
                  <c:v>45088</c:v>
                </c:pt>
                <c:pt idx="84">
                  <c:v>45095</c:v>
                </c:pt>
                <c:pt idx="85">
                  <c:v>45102</c:v>
                </c:pt>
                <c:pt idx="86">
                  <c:v>45109</c:v>
                </c:pt>
                <c:pt idx="87">
                  <c:v>45116</c:v>
                </c:pt>
                <c:pt idx="88">
                  <c:v>45123</c:v>
                </c:pt>
                <c:pt idx="89">
                  <c:v>45130</c:v>
                </c:pt>
                <c:pt idx="90">
                  <c:v>45137</c:v>
                </c:pt>
                <c:pt idx="91">
                  <c:v>45144</c:v>
                </c:pt>
                <c:pt idx="92">
                  <c:v>45151</c:v>
                </c:pt>
                <c:pt idx="93">
                  <c:v>45158</c:v>
                </c:pt>
                <c:pt idx="94">
                  <c:v>45165</c:v>
                </c:pt>
                <c:pt idx="95">
                  <c:v>45172</c:v>
                </c:pt>
                <c:pt idx="96">
                  <c:v>45179</c:v>
                </c:pt>
                <c:pt idx="97">
                  <c:v>45186</c:v>
                </c:pt>
                <c:pt idx="98">
                  <c:v>45193</c:v>
                </c:pt>
                <c:pt idx="99">
                  <c:v>45200</c:v>
                </c:pt>
                <c:pt idx="100">
                  <c:v>45207</c:v>
                </c:pt>
                <c:pt idx="101">
                  <c:v>45214</c:v>
                </c:pt>
                <c:pt idx="102">
                  <c:v>45221</c:v>
                </c:pt>
                <c:pt idx="103">
                  <c:v>45228</c:v>
                </c:pt>
                <c:pt idx="104">
                  <c:v>45235</c:v>
                </c:pt>
                <c:pt idx="105">
                  <c:v>45242</c:v>
                </c:pt>
                <c:pt idx="106">
                  <c:v>45249</c:v>
                </c:pt>
                <c:pt idx="107">
                  <c:v>45256</c:v>
                </c:pt>
                <c:pt idx="108">
                  <c:v>45263</c:v>
                </c:pt>
                <c:pt idx="109">
                  <c:v>45270</c:v>
                </c:pt>
                <c:pt idx="110">
                  <c:v>45277</c:v>
                </c:pt>
                <c:pt idx="111">
                  <c:v>45284</c:v>
                </c:pt>
                <c:pt idx="112">
                  <c:v>45291</c:v>
                </c:pt>
                <c:pt idx="113">
                  <c:v>45298</c:v>
                </c:pt>
                <c:pt idx="114">
                  <c:v>45305</c:v>
                </c:pt>
                <c:pt idx="115">
                  <c:v>45312</c:v>
                </c:pt>
                <c:pt idx="116">
                  <c:v>45319</c:v>
                </c:pt>
                <c:pt idx="117">
                  <c:v>45326</c:v>
                </c:pt>
                <c:pt idx="118">
                  <c:v>45333</c:v>
                </c:pt>
                <c:pt idx="119">
                  <c:v>45340</c:v>
                </c:pt>
                <c:pt idx="120">
                  <c:v>45347</c:v>
                </c:pt>
                <c:pt idx="121">
                  <c:v>45354</c:v>
                </c:pt>
                <c:pt idx="122">
                  <c:v>45361</c:v>
                </c:pt>
                <c:pt idx="123">
                  <c:v>45368</c:v>
                </c:pt>
                <c:pt idx="124">
                  <c:v>45375</c:v>
                </c:pt>
                <c:pt idx="125">
                  <c:v>45382</c:v>
                </c:pt>
                <c:pt idx="126">
                  <c:v>45389</c:v>
                </c:pt>
                <c:pt idx="127">
                  <c:v>45396</c:v>
                </c:pt>
                <c:pt idx="128">
                  <c:v>45403</c:v>
                </c:pt>
                <c:pt idx="129">
                  <c:v>45410</c:v>
                </c:pt>
                <c:pt idx="130">
                  <c:v>45417</c:v>
                </c:pt>
                <c:pt idx="131">
                  <c:v>45424</c:v>
                </c:pt>
                <c:pt idx="132">
                  <c:v>45431</c:v>
                </c:pt>
                <c:pt idx="133">
                  <c:v>45438</c:v>
                </c:pt>
                <c:pt idx="134">
                  <c:v>45445</c:v>
                </c:pt>
                <c:pt idx="135">
                  <c:v>45452</c:v>
                </c:pt>
                <c:pt idx="136">
                  <c:v>45459</c:v>
                </c:pt>
                <c:pt idx="137">
                  <c:v>45466</c:v>
                </c:pt>
                <c:pt idx="138">
                  <c:v>45473</c:v>
                </c:pt>
                <c:pt idx="139">
                  <c:v>45480</c:v>
                </c:pt>
                <c:pt idx="140">
                  <c:v>45487</c:v>
                </c:pt>
                <c:pt idx="141">
                  <c:v>45494</c:v>
                </c:pt>
                <c:pt idx="142">
                  <c:v>45501</c:v>
                </c:pt>
                <c:pt idx="143">
                  <c:v>45508</c:v>
                </c:pt>
                <c:pt idx="144">
                  <c:v>45515</c:v>
                </c:pt>
                <c:pt idx="145">
                  <c:v>45522</c:v>
                </c:pt>
                <c:pt idx="146">
                  <c:v>45529</c:v>
                </c:pt>
                <c:pt idx="147">
                  <c:v>45536</c:v>
                </c:pt>
                <c:pt idx="148">
                  <c:v>45543</c:v>
                </c:pt>
                <c:pt idx="149">
                  <c:v>45550</c:v>
                </c:pt>
                <c:pt idx="150">
                  <c:v>45557</c:v>
                </c:pt>
                <c:pt idx="151">
                  <c:v>45564</c:v>
                </c:pt>
                <c:pt idx="152">
                  <c:v>45571</c:v>
                </c:pt>
                <c:pt idx="153">
                  <c:v>45578</c:v>
                </c:pt>
                <c:pt idx="154">
                  <c:v>45585</c:v>
                </c:pt>
                <c:pt idx="155">
                  <c:v>45592</c:v>
                </c:pt>
                <c:pt idx="156">
                  <c:v>45599</c:v>
                </c:pt>
                <c:pt idx="157">
                  <c:v>45606</c:v>
                </c:pt>
                <c:pt idx="158">
                  <c:v>45613</c:v>
                </c:pt>
                <c:pt idx="159">
                  <c:v>45620</c:v>
                </c:pt>
                <c:pt idx="160">
                  <c:v>45627</c:v>
                </c:pt>
                <c:pt idx="161">
                  <c:v>45634</c:v>
                </c:pt>
                <c:pt idx="162">
                  <c:v>45641</c:v>
                </c:pt>
                <c:pt idx="163">
                  <c:v>45648</c:v>
                </c:pt>
                <c:pt idx="164">
                  <c:v>45655</c:v>
                </c:pt>
                <c:pt idx="165">
                  <c:v>45662</c:v>
                </c:pt>
                <c:pt idx="166">
                  <c:v>45669</c:v>
                </c:pt>
                <c:pt idx="167">
                  <c:v>45676</c:v>
                </c:pt>
                <c:pt idx="168">
                  <c:v>45683</c:v>
                </c:pt>
                <c:pt idx="169">
                  <c:v>45690</c:v>
                </c:pt>
                <c:pt idx="170">
                  <c:v>45697</c:v>
                </c:pt>
                <c:pt idx="171">
                  <c:v>45704</c:v>
                </c:pt>
                <c:pt idx="172">
                  <c:v>45711</c:v>
                </c:pt>
                <c:pt idx="173">
                  <c:v>45718</c:v>
                </c:pt>
                <c:pt idx="174">
                  <c:v>45725</c:v>
                </c:pt>
                <c:pt idx="175">
                  <c:v>45732</c:v>
                </c:pt>
                <c:pt idx="176">
                  <c:v>45739</c:v>
                </c:pt>
                <c:pt idx="177">
                  <c:v>45746</c:v>
                </c:pt>
                <c:pt idx="178">
                  <c:v>45753</c:v>
                </c:pt>
                <c:pt idx="179">
                  <c:v>45760</c:v>
                </c:pt>
                <c:pt idx="180">
                  <c:v>45767</c:v>
                </c:pt>
                <c:pt idx="181">
                  <c:v>45774</c:v>
                </c:pt>
                <c:pt idx="182">
                  <c:v>45781</c:v>
                </c:pt>
                <c:pt idx="183">
                  <c:v>45788</c:v>
                </c:pt>
                <c:pt idx="184">
                  <c:v>45795</c:v>
                </c:pt>
                <c:pt idx="185">
                  <c:v>45802</c:v>
                </c:pt>
                <c:pt idx="186">
                  <c:v>45809</c:v>
                </c:pt>
                <c:pt idx="187">
                  <c:v>45816</c:v>
                </c:pt>
                <c:pt idx="188">
                  <c:v>45823</c:v>
                </c:pt>
                <c:pt idx="189">
                  <c:v>45830</c:v>
                </c:pt>
                <c:pt idx="190">
                  <c:v>45837</c:v>
                </c:pt>
                <c:pt idx="191">
                  <c:v>45844</c:v>
                </c:pt>
                <c:pt idx="192">
                  <c:v>45851</c:v>
                </c:pt>
                <c:pt idx="193">
                  <c:v>45858</c:v>
                </c:pt>
                <c:pt idx="194">
                  <c:v>45865</c:v>
                </c:pt>
                <c:pt idx="195">
                  <c:v>45872</c:v>
                </c:pt>
                <c:pt idx="196">
                  <c:v>45879</c:v>
                </c:pt>
                <c:pt idx="197">
                  <c:v>45886</c:v>
                </c:pt>
                <c:pt idx="198">
                  <c:v>45893</c:v>
                </c:pt>
                <c:pt idx="199">
                  <c:v>45900</c:v>
                </c:pt>
                <c:pt idx="200">
                  <c:v>45907</c:v>
                </c:pt>
                <c:pt idx="201">
                  <c:v>45914</c:v>
                </c:pt>
                <c:pt idx="202">
                  <c:v>45921</c:v>
                </c:pt>
                <c:pt idx="203">
                  <c:v>45928</c:v>
                </c:pt>
                <c:pt idx="204">
                  <c:v>45935</c:v>
                </c:pt>
                <c:pt idx="205">
                  <c:v>45942</c:v>
                </c:pt>
                <c:pt idx="206">
                  <c:v>45949</c:v>
                </c:pt>
                <c:pt idx="207">
                  <c:v>45956</c:v>
                </c:pt>
                <c:pt idx="208">
                  <c:v>45963</c:v>
                </c:pt>
                <c:pt idx="209">
                  <c:v>45970</c:v>
                </c:pt>
                <c:pt idx="210">
                  <c:v>45977</c:v>
                </c:pt>
                <c:pt idx="211">
                  <c:v>45984</c:v>
                </c:pt>
                <c:pt idx="212">
                  <c:v>45991</c:v>
                </c:pt>
              </c:numCache>
            </c:numRef>
          </c:cat>
          <c:val>
            <c:numRef>
              <c:f>Graph!$D$2:$D$214</c:f>
              <c:numCache>
                <c:formatCode>General</c:formatCode>
                <c:ptCount val="213"/>
                <c:pt idx="0">
                  <c:v>100</c:v>
                </c:pt>
                <c:pt idx="1">
                  <c:v>99.414253172795313</c:v>
                </c:pt>
                <c:pt idx="2">
                  <c:v>92.678164659941416</c:v>
                </c:pt>
                <c:pt idx="3">
                  <c:v>89.489098600715906</c:v>
                </c:pt>
                <c:pt idx="4">
                  <c:v>88.219980475105757</c:v>
                </c:pt>
                <c:pt idx="5">
                  <c:v>91.929710380735443</c:v>
                </c:pt>
                <c:pt idx="6">
                  <c:v>92.580540188740642</c:v>
                </c:pt>
                <c:pt idx="7">
                  <c:v>92.515457207940116</c:v>
                </c:pt>
                <c:pt idx="8">
                  <c:v>89.098600715912781</c:v>
                </c:pt>
                <c:pt idx="9">
                  <c:v>91.311422063130493</c:v>
                </c:pt>
                <c:pt idx="10">
                  <c:v>95.639440286365115</c:v>
                </c:pt>
                <c:pt idx="11">
                  <c:v>86.300032541490395</c:v>
                </c:pt>
                <c:pt idx="12">
                  <c:v>88.480312398307845</c:v>
                </c:pt>
                <c:pt idx="13">
                  <c:v>91.897168890335166</c:v>
                </c:pt>
                <c:pt idx="14">
                  <c:v>101.78978197201431</c:v>
                </c:pt>
                <c:pt idx="15">
                  <c:v>98.991213797591939</c:v>
                </c:pt>
                <c:pt idx="16">
                  <c:v>110.08786202408069</c:v>
                </c:pt>
                <c:pt idx="17">
                  <c:v>114.28571428571428</c:v>
                </c:pt>
                <c:pt idx="18">
                  <c:v>109.59973966807679</c:v>
                </c:pt>
                <c:pt idx="19">
                  <c:v>114.22063130491378</c:v>
                </c:pt>
                <c:pt idx="20">
                  <c:v>114.0253823625122</c:v>
                </c:pt>
                <c:pt idx="21">
                  <c:v>117.73511226814189</c:v>
                </c:pt>
                <c:pt idx="22">
                  <c:v>119.68760169215751</c:v>
                </c:pt>
                <c:pt idx="23">
                  <c:v>109.33940774487472</c:v>
                </c:pt>
                <c:pt idx="24">
                  <c:v>108.29808005206638</c:v>
                </c:pt>
                <c:pt idx="25">
                  <c:v>103.31923202082656</c:v>
                </c:pt>
                <c:pt idx="26">
                  <c:v>94.663195574357303</c:v>
                </c:pt>
                <c:pt idx="27">
                  <c:v>96.19264562316954</c:v>
                </c:pt>
                <c:pt idx="28">
                  <c:v>95.834689228766678</c:v>
                </c:pt>
                <c:pt idx="29">
                  <c:v>95.281483891962253</c:v>
                </c:pt>
                <c:pt idx="30">
                  <c:v>94.044907256752353</c:v>
                </c:pt>
                <c:pt idx="31">
                  <c:v>90.986007159127894</c:v>
                </c:pt>
                <c:pt idx="32">
                  <c:v>86.755613407094046</c:v>
                </c:pt>
                <c:pt idx="33">
                  <c:v>82.037097299056299</c:v>
                </c:pt>
                <c:pt idx="34">
                  <c:v>81.353726000650823</c:v>
                </c:pt>
                <c:pt idx="35">
                  <c:v>75.951838594207615</c:v>
                </c:pt>
                <c:pt idx="36">
                  <c:v>76.993166287015953</c:v>
                </c:pt>
                <c:pt idx="37">
                  <c:v>78.001952489424013</c:v>
                </c:pt>
                <c:pt idx="38">
                  <c:v>77.578913114220626</c:v>
                </c:pt>
                <c:pt idx="39">
                  <c:v>81.418808981451349</c:v>
                </c:pt>
                <c:pt idx="40">
                  <c:v>77.481288643019838</c:v>
                </c:pt>
                <c:pt idx="41">
                  <c:v>76.407419459811251</c:v>
                </c:pt>
                <c:pt idx="42">
                  <c:v>72.860397006182893</c:v>
                </c:pt>
                <c:pt idx="43">
                  <c:v>75.919297103807352</c:v>
                </c:pt>
                <c:pt idx="44">
                  <c:v>72.404816140579243</c:v>
                </c:pt>
                <c:pt idx="45">
                  <c:v>69.638789456557106</c:v>
                </c:pt>
                <c:pt idx="46">
                  <c:v>76.374877969410988</c:v>
                </c:pt>
                <c:pt idx="47">
                  <c:v>78.587699316628701</c:v>
                </c:pt>
                <c:pt idx="48">
                  <c:v>71.330946957370656</c:v>
                </c:pt>
                <c:pt idx="49">
                  <c:v>73.088187438984704</c:v>
                </c:pt>
                <c:pt idx="50">
                  <c:v>74.520013016596153</c:v>
                </c:pt>
                <c:pt idx="51">
                  <c:v>75.301008786202402</c:v>
                </c:pt>
                <c:pt idx="52">
                  <c:v>84.575333550276596</c:v>
                </c:pt>
                <c:pt idx="53">
                  <c:v>80.898145135047187</c:v>
                </c:pt>
                <c:pt idx="54">
                  <c:v>84.965831435079721</c:v>
                </c:pt>
                <c:pt idx="55">
                  <c:v>88.08981451350472</c:v>
                </c:pt>
                <c:pt idx="56">
                  <c:v>88.935893263911481</c:v>
                </c:pt>
                <c:pt idx="57">
                  <c:v>83.761796290270084</c:v>
                </c:pt>
                <c:pt idx="58">
                  <c:v>87.341360234298719</c:v>
                </c:pt>
                <c:pt idx="59">
                  <c:v>85.97461763748781</c:v>
                </c:pt>
                <c:pt idx="60">
                  <c:v>95.41164985356329</c:v>
                </c:pt>
                <c:pt idx="61">
                  <c:v>96.778392450374213</c:v>
                </c:pt>
                <c:pt idx="62">
                  <c:v>94.988610478359917</c:v>
                </c:pt>
                <c:pt idx="63">
                  <c:v>95.444191343963553</c:v>
                </c:pt>
                <c:pt idx="64">
                  <c:v>89.163683696713306</c:v>
                </c:pt>
                <c:pt idx="65">
                  <c:v>89.228766677513832</c:v>
                </c:pt>
                <c:pt idx="66">
                  <c:v>83.599088838268798</c:v>
                </c:pt>
                <c:pt idx="67">
                  <c:v>79.986983403839886</c:v>
                </c:pt>
                <c:pt idx="68">
                  <c:v>84.217377155873734</c:v>
                </c:pt>
                <c:pt idx="69">
                  <c:v>81.191018548649524</c:v>
                </c:pt>
                <c:pt idx="70">
                  <c:v>89.521640091116168</c:v>
                </c:pt>
                <c:pt idx="71">
                  <c:v>94.044907256752353</c:v>
                </c:pt>
                <c:pt idx="72">
                  <c:v>96.225187113569802</c:v>
                </c:pt>
                <c:pt idx="73">
                  <c:v>101.62707452001302</c:v>
                </c:pt>
                <c:pt idx="74">
                  <c:v>101.75724048161405</c:v>
                </c:pt>
                <c:pt idx="75">
                  <c:v>99.251545720794013</c:v>
                </c:pt>
                <c:pt idx="76">
                  <c:v>99.576960624796612</c:v>
                </c:pt>
                <c:pt idx="77">
                  <c:v>104.52326716563618</c:v>
                </c:pt>
                <c:pt idx="78">
                  <c:v>100.09762447120079</c:v>
                </c:pt>
                <c:pt idx="79">
                  <c:v>97.461763748779688</c:v>
                </c:pt>
                <c:pt idx="80">
                  <c:v>91.506671005532056</c:v>
                </c:pt>
                <c:pt idx="81">
                  <c:v>96.290270094370328</c:v>
                </c:pt>
                <c:pt idx="82">
                  <c:v>95.118776439960953</c:v>
                </c:pt>
                <c:pt idx="83">
                  <c:v>93.752033843150002</c:v>
                </c:pt>
                <c:pt idx="84">
                  <c:v>88.838268792710707</c:v>
                </c:pt>
                <c:pt idx="85">
                  <c:v>88.480312398307845</c:v>
                </c:pt>
                <c:pt idx="86">
                  <c:v>87.92710706150342</c:v>
                </c:pt>
                <c:pt idx="87">
                  <c:v>94.305239179954441</c:v>
                </c:pt>
                <c:pt idx="88">
                  <c:v>92.743247640741941</c:v>
                </c:pt>
                <c:pt idx="89">
                  <c:v>90.562967783924492</c:v>
                </c:pt>
                <c:pt idx="90">
                  <c:v>86.137325089489096</c:v>
                </c:pt>
                <c:pt idx="91">
                  <c:v>84.672958021477385</c:v>
                </c:pt>
                <c:pt idx="92">
                  <c:v>79.726651480637813</c:v>
                </c:pt>
                <c:pt idx="93">
                  <c:v>83.306215424666448</c:v>
                </c:pt>
                <c:pt idx="94">
                  <c:v>86.462739993491695</c:v>
                </c:pt>
                <c:pt idx="95">
                  <c:v>84.510250569476071</c:v>
                </c:pt>
                <c:pt idx="96">
                  <c:v>88.187438984705508</c:v>
                </c:pt>
                <c:pt idx="97">
                  <c:v>86.820696387894557</c:v>
                </c:pt>
                <c:pt idx="98">
                  <c:v>80.377481288643011</c:v>
                </c:pt>
                <c:pt idx="99">
                  <c:v>80.800520663846399</c:v>
                </c:pt>
                <c:pt idx="100">
                  <c:v>89.65180605271722</c:v>
                </c:pt>
                <c:pt idx="101">
                  <c:v>92.027334851936232</c:v>
                </c:pt>
                <c:pt idx="102">
                  <c:v>87.569150667100544</c:v>
                </c:pt>
                <c:pt idx="103">
                  <c:v>89.781972014318256</c:v>
                </c:pt>
                <c:pt idx="104">
                  <c:v>82.818093068662549</c:v>
                </c:pt>
                <c:pt idx="105">
                  <c:v>85.161080377481284</c:v>
                </c:pt>
                <c:pt idx="106">
                  <c:v>86.788154897494309</c:v>
                </c:pt>
                <c:pt idx="107">
                  <c:v>95.802147738366415</c:v>
                </c:pt>
                <c:pt idx="108">
                  <c:v>93.394077448747154</c:v>
                </c:pt>
                <c:pt idx="109">
                  <c:v>95.606898795964838</c:v>
                </c:pt>
                <c:pt idx="110">
                  <c:v>98.763423364790114</c:v>
                </c:pt>
                <c:pt idx="111">
                  <c:v>95.444191343963553</c:v>
                </c:pt>
                <c:pt idx="112">
                  <c:v>91.474129515131779</c:v>
                </c:pt>
                <c:pt idx="113">
                  <c:v>90.82329970712658</c:v>
                </c:pt>
                <c:pt idx="114">
                  <c:v>83.729254799869835</c:v>
                </c:pt>
                <c:pt idx="115">
                  <c:v>87.30881874389847</c:v>
                </c:pt>
                <c:pt idx="116">
                  <c:v>87.211194272697696</c:v>
                </c:pt>
                <c:pt idx="117">
                  <c:v>84.249918646273997</c:v>
                </c:pt>
                <c:pt idx="118">
                  <c:v>84.738041002277896</c:v>
                </c:pt>
                <c:pt idx="119">
                  <c:v>82.980800520663848</c:v>
                </c:pt>
                <c:pt idx="120">
                  <c:v>85.095997396680772</c:v>
                </c:pt>
                <c:pt idx="121">
                  <c:v>94.012365766352104</c:v>
                </c:pt>
                <c:pt idx="122">
                  <c:v>94.63065408395704</c:v>
                </c:pt>
                <c:pt idx="123">
                  <c:v>95.216400911161742</c:v>
                </c:pt>
                <c:pt idx="124">
                  <c:v>101.36674259681094</c:v>
                </c:pt>
                <c:pt idx="125">
                  <c:v>108.33062154246664</c:v>
                </c:pt>
                <c:pt idx="126">
                  <c:v>113.76505043931012</c:v>
                </c:pt>
                <c:pt idx="127">
                  <c:v>111.48714611129189</c:v>
                </c:pt>
                <c:pt idx="128">
                  <c:v>113.30946957370647</c:v>
                </c:pt>
                <c:pt idx="129">
                  <c:v>108.10283110966481</c:v>
                </c:pt>
                <c:pt idx="130">
                  <c:v>115.4246664497234</c:v>
                </c:pt>
                <c:pt idx="131">
                  <c:v>117.6374877969411</c:v>
                </c:pt>
                <c:pt idx="132">
                  <c:v>113.40709404490725</c:v>
                </c:pt>
                <c:pt idx="133">
                  <c:v>113.34201106410673</c:v>
                </c:pt>
                <c:pt idx="134">
                  <c:v>109.30686625447446</c:v>
                </c:pt>
                <c:pt idx="135">
                  <c:v>107.67979173446145</c:v>
                </c:pt>
                <c:pt idx="136">
                  <c:v>111.64985356329321</c:v>
                </c:pt>
                <c:pt idx="137">
                  <c:v>113.14676212170518</c:v>
                </c:pt>
                <c:pt idx="138">
                  <c:v>119.68760169215751</c:v>
                </c:pt>
                <c:pt idx="139">
                  <c:v>124.34103481939474</c:v>
                </c:pt>
                <c:pt idx="140">
                  <c:v>121.86788154897495</c:v>
                </c:pt>
                <c:pt idx="141">
                  <c:v>120.30589000976244</c:v>
                </c:pt>
                <c:pt idx="142">
                  <c:v>119.1994793361536</c:v>
                </c:pt>
                <c:pt idx="143">
                  <c:v>118.67881548974944</c:v>
                </c:pt>
                <c:pt idx="144">
                  <c:v>127.00943703221608</c:v>
                </c:pt>
                <c:pt idx="145">
                  <c:v>128.73413602342987</c:v>
                </c:pt>
                <c:pt idx="146">
                  <c:v>127.04197852261633</c:v>
                </c:pt>
                <c:pt idx="147">
                  <c:v>121.02180279856816</c:v>
                </c:pt>
                <c:pt idx="148">
                  <c:v>130.55645948584444</c:v>
                </c:pt>
                <c:pt idx="149">
                  <c:v>130.75170842824602</c:v>
                </c:pt>
                <c:pt idx="150">
                  <c:v>131.89066059225513</c:v>
                </c:pt>
                <c:pt idx="151">
                  <c:v>132.34624145785878</c:v>
                </c:pt>
                <c:pt idx="152">
                  <c:v>133.06215424666451</c:v>
                </c:pt>
                <c:pt idx="153">
                  <c:v>145.29775463716237</c:v>
                </c:pt>
                <c:pt idx="154">
                  <c:v>142.46664497233974</c:v>
                </c:pt>
                <c:pt idx="155">
                  <c:v>135.6003904978848</c:v>
                </c:pt>
                <c:pt idx="156">
                  <c:v>134.0383989586723</c:v>
                </c:pt>
                <c:pt idx="157">
                  <c:v>123.56003904978847</c:v>
                </c:pt>
                <c:pt idx="158">
                  <c:v>135.43768304588349</c:v>
                </c:pt>
                <c:pt idx="159">
                  <c:v>131.07712333224862</c:v>
                </c:pt>
                <c:pt idx="160">
                  <c:v>129.77546371623819</c:v>
                </c:pt>
                <c:pt idx="161">
                  <c:v>129.97071265863974</c:v>
                </c:pt>
                <c:pt idx="162">
                  <c:v>123.75528799219005</c:v>
                </c:pt>
                <c:pt idx="163">
                  <c:v>122.29092092417832</c:v>
                </c:pt>
                <c:pt idx="164">
                  <c:v>126.81418808981451</c:v>
                </c:pt>
                <c:pt idx="165">
                  <c:v>134.26618939147411</c:v>
                </c:pt>
                <c:pt idx="166">
                  <c:v>134.72177025707776</c:v>
                </c:pt>
                <c:pt idx="167">
                  <c:v>139.76570126911813</c:v>
                </c:pt>
                <c:pt idx="168">
                  <c:v>148.71461112918973</c:v>
                </c:pt>
                <c:pt idx="169">
                  <c:v>154.7022453628376</c:v>
                </c:pt>
                <c:pt idx="170">
                  <c:v>152.45688252521964</c:v>
                </c:pt>
                <c:pt idx="171">
                  <c:v>152.29417507321836</c:v>
                </c:pt>
                <c:pt idx="172">
                  <c:v>142.92222583794339</c:v>
                </c:pt>
                <c:pt idx="173">
                  <c:v>145.85095997396681</c:v>
                </c:pt>
                <c:pt idx="174">
                  <c:v>154.24666449723395</c:v>
                </c:pt>
                <c:pt idx="175">
                  <c:v>158.7373901724699</c:v>
                </c:pt>
                <c:pt idx="176">
                  <c:v>165.44093719492355</c:v>
                </c:pt>
                <c:pt idx="177">
                  <c:v>149.59323136999674</c:v>
                </c:pt>
                <c:pt idx="178">
                  <c:v>173.57630979498862</c:v>
                </c:pt>
                <c:pt idx="179">
                  <c:v>179.69410999023754</c:v>
                </c:pt>
                <c:pt idx="180">
                  <c:v>169.05304262935243</c:v>
                </c:pt>
                <c:pt idx="181">
                  <c:v>164.3996095021152</c:v>
                </c:pt>
                <c:pt idx="182">
                  <c:v>177.41620566221934</c:v>
                </c:pt>
                <c:pt idx="183">
                  <c:v>162.38203709729905</c:v>
                </c:pt>
                <c:pt idx="184">
                  <c:v>177.09079075821671</c:v>
                </c:pt>
                <c:pt idx="185">
                  <c:v>174.6501789781972</c:v>
                </c:pt>
                <c:pt idx="186">
                  <c:v>183.501464367068</c:v>
                </c:pt>
                <c:pt idx="187">
                  <c:v>187.76439960950214</c:v>
                </c:pt>
                <c:pt idx="188">
                  <c:v>182.91571753986332</c:v>
                </c:pt>
                <c:pt idx="189">
                  <c:v>169.73641392775787</c:v>
                </c:pt>
                <c:pt idx="190">
                  <c:v>177.35112268141881</c:v>
                </c:pt>
                <c:pt idx="191">
                  <c:v>177.87178652782296</c:v>
                </c:pt>
                <c:pt idx="192">
                  <c:v>173.57630979498862</c:v>
                </c:pt>
                <c:pt idx="193">
                  <c:v>179.7266514806378</c:v>
                </c:pt>
                <c:pt idx="194">
                  <c:v>178.55515782622845</c:v>
                </c:pt>
                <c:pt idx="195">
                  <c:v>200.61828831760496</c:v>
                </c:pt>
                <c:pt idx="196">
                  <c:v>199.02375528799217</c:v>
                </c:pt>
                <c:pt idx="197">
                  <c:v>205.75984380084606</c:v>
                </c:pt>
                <c:pt idx="198">
                  <c:v>213.34201106410674</c:v>
                </c:pt>
                <c:pt idx="199">
                  <c:v>224.27595183859421</c:v>
                </c:pt>
                <c:pt idx="200">
                  <c:v>239.17995444191345</c:v>
                </c:pt>
                <c:pt idx="201">
                  <c:v>242.49918646273997</c:v>
                </c:pt>
                <c:pt idx="202">
                  <c:v>254.14904002603316</c:v>
                </c:pt>
                <c:pt idx="203">
                  <c:v>264.92027334851934</c:v>
                </c:pt>
                <c:pt idx="204">
                  <c:v>260.85258704848678</c:v>
                </c:pt>
                <c:pt idx="205">
                  <c:v>273.96680767979171</c:v>
                </c:pt>
                <c:pt idx="206">
                  <c:v>257.30556459485842</c:v>
                </c:pt>
                <c:pt idx="207">
                  <c:v>250.82980800520662</c:v>
                </c:pt>
                <c:pt idx="208">
                  <c:v>250.69964204360562</c:v>
                </c:pt>
                <c:pt idx="209">
                  <c:v>268.95541815815164</c:v>
                </c:pt>
                <c:pt idx="210">
                  <c:v>259.58346892287665</c:v>
                </c:pt>
                <c:pt idx="211">
                  <c:v>290.69313374552553</c:v>
                </c:pt>
                <c:pt idx="212">
                  <c:v>285.58411975268467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FC-4F87-9CCC-661B1048D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544392"/>
        <c:axId val="420534672"/>
      </c:lineChart>
      <c:dateAx>
        <c:axId val="4205443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0534672"/>
        <c:crosses val="autoZero"/>
        <c:auto val="1"/>
        <c:lblOffset val="100"/>
        <c:baseTimeUnit val="days"/>
      </c:dateAx>
      <c:valAx>
        <c:axId val="42053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0544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98424</xdr:colOff>
      <xdr:row>3</xdr:row>
      <xdr:rowOff>44450</xdr:rowOff>
    </xdr:from>
    <xdr:to>
      <xdr:col>11</xdr:col>
      <xdr:colOff>565149</xdr:colOff>
      <xdr:row>18</xdr:row>
      <xdr:rowOff>25400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F3CE70D-E384-BFB4-04E6-194ED29A6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4"/>
  <sheetViews>
    <sheetView workbookViewId="0">
      <selection activeCell="G1" sqref="G1"/>
    </sheetView>
  </sheetViews>
  <sheetFormatPr baseColWidth="10" defaultRowHeight="15" x14ac:dyDescent="0.25"/>
  <sheetData>
    <row r="1" spans="1:7" x14ac:dyDescent="0.25">
      <c r="A1" t="s">
        <v>0</v>
      </c>
      <c r="B1" t="s">
        <v>216</v>
      </c>
      <c r="C1" t="s">
        <v>217</v>
      </c>
      <c r="D1" t="s">
        <v>218</v>
      </c>
      <c r="E1" t="s">
        <v>219</v>
      </c>
      <c r="F1" t="s">
        <v>1</v>
      </c>
      <c r="G1" t="s">
        <v>220</v>
      </c>
    </row>
    <row r="2" spans="1:7" x14ac:dyDescent="0.25">
      <c r="A2" s="1">
        <v>45991</v>
      </c>
      <c r="B2">
        <v>119.89</v>
      </c>
      <c r="C2">
        <v>118.88</v>
      </c>
      <c r="D2">
        <v>120.06</v>
      </c>
      <c r="E2">
        <v>118.55</v>
      </c>
      <c r="F2" t="s">
        <v>2</v>
      </c>
      <c r="G2" s="2">
        <v>2.5000000000000001E-3</v>
      </c>
    </row>
    <row r="3" spans="1:7" x14ac:dyDescent="0.25">
      <c r="A3" s="1">
        <v>45984</v>
      </c>
      <c r="B3">
        <v>119.58</v>
      </c>
      <c r="C3">
        <v>116.83</v>
      </c>
      <c r="D3">
        <v>119.67</v>
      </c>
      <c r="E3">
        <v>116.25</v>
      </c>
      <c r="F3" t="s">
        <v>3</v>
      </c>
      <c r="G3" s="2">
        <v>2.9499999999999998E-2</v>
      </c>
    </row>
    <row r="4" spans="1:7" x14ac:dyDescent="0.25">
      <c r="A4" s="1">
        <v>45977</v>
      </c>
      <c r="B4">
        <v>116.15</v>
      </c>
      <c r="C4">
        <v>118.57</v>
      </c>
      <c r="D4">
        <v>118.71</v>
      </c>
      <c r="E4">
        <v>114.89</v>
      </c>
      <c r="F4" t="s">
        <v>4</v>
      </c>
      <c r="G4" s="2">
        <v>-1.8100000000000002E-2</v>
      </c>
    </row>
    <row r="5" spans="1:7" x14ac:dyDescent="0.25">
      <c r="A5" s="1">
        <v>45970</v>
      </c>
      <c r="B5">
        <v>118.3</v>
      </c>
      <c r="C5">
        <v>118.81</v>
      </c>
      <c r="D5">
        <v>120.63</v>
      </c>
      <c r="E5">
        <v>116.53</v>
      </c>
      <c r="F5" t="s">
        <v>5</v>
      </c>
      <c r="G5" s="2">
        <v>1.4200000000000001E-2</v>
      </c>
    </row>
    <row r="6" spans="1:7" x14ac:dyDescent="0.25">
      <c r="A6" s="1">
        <v>45963</v>
      </c>
      <c r="B6">
        <v>116.64</v>
      </c>
      <c r="C6">
        <v>120.11</v>
      </c>
      <c r="D6">
        <v>120.71</v>
      </c>
      <c r="E6">
        <v>116.56</v>
      </c>
      <c r="F6" t="s">
        <v>6</v>
      </c>
      <c r="G6" s="2">
        <v>-2.81E-2</v>
      </c>
    </row>
    <row r="7" spans="1:7" x14ac:dyDescent="0.25">
      <c r="A7" s="1">
        <v>45956</v>
      </c>
      <c r="B7">
        <v>120.01</v>
      </c>
      <c r="C7">
        <v>119.55</v>
      </c>
      <c r="D7">
        <v>120.39</v>
      </c>
      <c r="E7">
        <v>119.3</v>
      </c>
      <c r="F7" t="s">
        <v>7</v>
      </c>
      <c r="G7" s="2">
        <v>1.11E-2</v>
      </c>
    </row>
    <row r="8" spans="1:7" x14ac:dyDescent="0.25">
      <c r="A8" s="1">
        <v>45949</v>
      </c>
      <c r="B8">
        <v>118.7</v>
      </c>
      <c r="C8">
        <v>116.89</v>
      </c>
      <c r="D8">
        <v>118.71</v>
      </c>
      <c r="E8">
        <v>116.7</v>
      </c>
      <c r="F8" t="s">
        <v>8</v>
      </c>
      <c r="G8" s="2">
        <v>2.8000000000000001E-2</v>
      </c>
    </row>
    <row r="9" spans="1:7" x14ac:dyDescent="0.25">
      <c r="A9" s="1">
        <v>45942</v>
      </c>
      <c r="B9">
        <v>115.46</v>
      </c>
      <c r="C9">
        <v>116.14</v>
      </c>
      <c r="D9">
        <v>117.5</v>
      </c>
      <c r="E9">
        <v>113.96</v>
      </c>
      <c r="F9" t="s">
        <v>9</v>
      </c>
      <c r="G9" s="2">
        <v>-2.2000000000000001E-3</v>
      </c>
    </row>
    <row r="10" spans="1:7" x14ac:dyDescent="0.25">
      <c r="A10" s="1">
        <v>45935</v>
      </c>
      <c r="B10">
        <v>115.71</v>
      </c>
      <c r="C10">
        <v>117.16</v>
      </c>
      <c r="D10">
        <v>118.34</v>
      </c>
      <c r="E10">
        <v>115.71</v>
      </c>
      <c r="F10" t="s">
        <v>10</v>
      </c>
      <c r="G10" s="2">
        <v>-8.9999999999999993E-3</v>
      </c>
    </row>
    <row r="11" spans="1:7" x14ac:dyDescent="0.25">
      <c r="A11" s="1">
        <v>45928</v>
      </c>
      <c r="B11">
        <v>116.76</v>
      </c>
      <c r="C11">
        <v>115.29</v>
      </c>
      <c r="D11">
        <v>116.82</v>
      </c>
      <c r="E11">
        <v>114.56</v>
      </c>
      <c r="F11" t="s">
        <v>11</v>
      </c>
      <c r="G11" s="2">
        <v>1.66E-2</v>
      </c>
    </row>
    <row r="12" spans="1:7" x14ac:dyDescent="0.25">
      <c r="A12" s="1">
        <v>45921</v>
      </c>
      <c r="B12">
        <v>114.85</v>
      </c>
      <c r="C12">
        <v>114.97</v>
      </c>
      <c r="D12">
        <v>115.35</v>
      </c>
      <c r="E12">
        <v>114.19</v>
      </c>
      <c r="F12" t="s">
        <v>12</v>
      </c>
      <c r="G12" s="2">
        <v>1.1000000000000001E-3</v>
      </c>
    </row>
    <row r="13" spans="1:7" x14ac:dyDescent="0.25">
      <c r="A13" s="1">
        <v>45914</v>
      </c>
      <c r="B13">
        <v>114.72</v>
      </c>
      <c r="C13">
        <v>114.37</v>
      </c>
      <c r="D13">
        <v>115</v>
      </c>
      <c r="E13">
        <v>113.36</v>
      </c>
      <c r="F13" t="s">
        <v>13</v>
      </c>
      <c r="G13" s="2">
        <v>4.3E-3</v>
      </c>
    </row>
    <row r="14" spans="1:7" x14ac:dyDescent="0.25">
      <c r="A14" s="1">
        <v>45907</v>
      </c>
      <c r="B14">
        <v>114.24</v>
      </c>
      <c r="C14">
        <v>112.75</v>
      </c>
      <c r="D14">
        <v>114.38</v>
      </c>
      <c r="E14">
        <v>112.57</v>
      </c>
      <c r="F14" t="s">
        <v>14</v>
      </c>
      <c r="G14" s="2">
        <v>1.9E-2</v>
      </c>
    </row>
    <row r="15" spans="1:7" x14ac:dyDescent="0.25">
      <c r="A15" s="1">
        <v>45900</v>
      </c>
      <c r="B15">
        <v>112.1</v>
      </c>
      <c r="C15">
        <v>112.19</v>
      </c>
      <c r="D15">
        <v>113.44</v>
      </c>
      <c r="E15">
        <v>111.16</v>
      </c>
      <c r="F15" t="s">
        <v>15</v>
      </c>
      <c r="G15" s="2">
        <v>-8.0000000000000004E-4</v>
      </c>
    </row>
    <row r="16" spans="1:7" x14ac:dyDescent="0.25">
      <c r="A16" s="1">
        <v>45893</v>
      </c>
      <c r="B16">
        <v>112.19</v>
      </c>
      <c r="C16">
        <v>112.45</v>
      </c>
      <c r="D16">
        <v>113.43</v>
      </c>
      <c r="E16">
        <v>112.12</v>
      </c>
      <c r="F16" t="s">
        <v>16</v>
      </c>
      <c r="G16" s="2">
        <v>-5.1999999999999998E-3</v>
      </c>
    </row>
    <row r="17" spans="1:7" x14ac:dyDescent="0.25">
      <c r="A17" s="1">
        <v>45886</v>
      </c>
      <c r="B17">
        <v>112.79</v>
      </c>
      <c r="C17">
        <v>112.22</v>
      </c>
      <c r="D17">
        <v>112.85</v>
      </c>
      <c r="E17">
        <v>111.28</v>
      </c>
      <c r="F17" t="s">
        <v>17</v>
      </c>
      <c r="G17" s="2">
        <v>5.8999999999999999E-3</v>
      </c>
    </row>
    <row r="18" spans="1:7" x14ac:dyDescent="0.25">
      <c r="A18" s="1">
        <v>45879</v>
      </c>
      <c r="B18">
        <v>112.12</v>
      </c>
      <c r="C18">
        <v>111.54</v>
      </c>
      <c r="D18">
        <v>112.97</v>
      </c>
      <c r="E18">
        <v>111.33</v>
      </c>
      <c r="F18" t="s">
        <v>18</v>
      </c>
      <c r="G18" s="2">
        <v>9.4999999999999998E-3</v>
      </c>
    </row>
    <row r="19" spans="1:7" x14ac:dyDescent="0.25">
      <c r="A19" s="1">
        <v>45872</v>
      </c>
      <c r="B19">
        <v>111.07</v>
      </c>
      <c r="C19">
        <v>109.64</v>
      </c>
      <c r="D19">
        <v>111.39</v>
      </c>
      <c r="E19">
        <v>109.64</v>
      </c>
      <c r="F19" t="s">
        <v>19</v>
      </c>
      <c r="G19" s="2">
        <v>1.61E-2</v>
      </c>
    </row>
    <row r="20" spans="1:7" x14ac:dyDescent="0.25">
      <c r="A20" s="1">
        <v>45865</v>
      </c>
      <c r="B20">
        <v>109.31</v>
      </c>
      <c r="C20">
        <v>111.2</v>
      </c>
      <c r="D20">
        <v>113.53</v>
      </c>
      <c r="E20">
        <v>108.68</v>
      </c>
      <c r="F20" t="s">
        <v>20</v>
      </c>
      <c r="G20" s="2">
        <v>-1.0200000000000001E-2</v>
      </c>
    </row>
    <row r="21" spans="1:7" x14ac:dyDescent="0.25">
      <c r="A21" s="1">
        <v>45858</v>
      </c>
      <c r="B21">
        <v>110.44</v>
      </c>
      <c r="C21">
        <v>109.95</v>
      </c>
      <c r="D21">
        <v>110.51</v>
      </c>
      <c r="E21">
        <v>108.93</v>
      </c>
      <c r="F21" t="s">
        <v>21</v>
      </c>
      <c r="G21" s="2">
        <v>7.1000000000000004E-3</v>
      </c>
    </row>
    <row r="22" spans="1:7" x14ac:dyDescent="0.25">
      <c r="A22" s="1">
        <v>45851</v>
      </c>
      <c r="B22">
        <v>109.66</v>
      </c>
      <c r="C22">
        <v>108.38</v>
      </c>
      <c r="D22">
        <v>110.18</v>
      </c>
      <c r="E22">
        <v>107.78</v>
      </c>
      <c r="F22" t="s">
        <v>22</v>
      </c>
      <c r="G22" s="2">
        <v>9.2999999999999992E-3</v>
      </c>
    </row>
    <row r="23" spans="1:7" x14ac:dyDescent="0.25">
      <c r="A23" s="1">
        <v>45844</v>
      </c>
      <c r="B23">
        <v>108.64</v>
      </c>
      <c r="C23">
        <v>108.06</v>
      </c>
      <c r="D23">
        <v>109.31</v>
      </c>
      <c r="E23">
        <v>107.92</v>
      </c>
      <c r="F23" t="s">
        <v>23</v>
      </c>
      <c r="G23" s="2">
        <v>7.7000000000000002E-3</v>
      </c>
    </row>
    <row r="24" spans="1:7" x14ac:dyDescent="0.25">
      <c r="A24" s="1">
        <v>45837</v>
      </c>
      <c r="B24">
        <v>107.81</v>
      </c>
      <c r="C24">
        <v>107.76</v>
      </c>
      <c r="D24">
        <v>108.6</v>
      </c>
      <c r="E24">
        <v>106.86</v>
      </c>
      <c r="F24" t="s">
        <v>24</v>
      </c>
      <c r="G24" s="2">
        <v>1E-3</v>
      </c>
    </row>
    <row r="25" spans="1:7" x14ac:dyDescent="0.25">
      <c r="A25" s="1">
        <v>45830</v>
      </c>
      <c r="B25">
        <v>107.71</v>
      </c>
      <c r="C25">
        <v>105.71</v>
      </c>
      <c r="D25">
        <v>107.71</v>
      </c>
      <c r="E25">
        <v>105.68</v>
      </c>
      <c r="F25" t="s">
        <v>25</v>
      </c>
      <c r="G25" s="2">
        <v>1.52E-2</v>
      </c>
    </row>
    <row r="26" spans="1:7" x14ac:dyDescent="0.25">
      <c r="A26" s="1">
        <v>45823</v>
      </c>
      <c r="B26">
        <v>106.09</v>
      </c>
      <c r="C26">
        <v>106.4</v>
      </c>
      <c r="D26">
        <v>106.92</v>
      </c>
      <c r="E26">
        <v>105.75</v>
      </c>
      <c r="F26" t="s">
        <v>26</v>
      </c>
      <c r="G26" s="2">
        <v>-3.3E-3</v>
      </c>
    </row>
    <row r="27" spans="1:7" x14ac:dyDescent="0.25">
      <c r="A27" s="1">
        <v>45816</v>
      </c>
      <c r="B27">
        <v>106.44</v>
      </c>
      <c r="C27">
        <v>107.68</v>
      </c>
      <c r="D27">
        <v>108.3</v>
      </c>
      <c r="E27">
        <v>105.79</v>
      </c>
      <c r="F27" t="s">
        <v>27</v>
      </c>
      <c r="G27" s="2">
        <v>-1.24E-2</v>
      </c>
    </row>
    <row r="28" spans="1:7" x14ac:dyDescent="0.25">
      <c r="A28" s="1">
        <v>45809</v>
      </c>
      <c r="B28">
        <v>107.78</v>
      </c>
      <c r="C28">
        <v>105.96</v>
      </c>
      <c r="D28">
        <v>108.02</v>
      </c>
      <c r="E28">
        <v>105.58</v>
      </c>
      <c r="F28" t="s">
        <v>28</v>
      </c>
      <c r="G28" s="2">
        <v>1.1900000000000001E-2</v>
      </c>
    </row>
    <row r="29" spans="1:7" x14ac:dyDescent="0.25">
      <c r="A29" s="1">
        <v>45802</v>
      </c>
      <c r="B29">
        <v>106.51</v>
      </c>
      <c r="C29">
        <v>105.79</v>
      </c>
      <c r="D29">
        <v>108.38</v>
      </c>
      <c r="E29">
        <v>105.78</v>
      </c>
      <c r="F29" t="s">
        <v>29</v>
      </c>
      <c r="G29" s="2">
        <v>1.37E-2</v>
      </c>
    </row>
    <row r="30" spans="1:7" x14ac:dyDescent="0.25">
      <c r="A30" s="1">
        <v>45795</v>
      </c>
      <c r="B30">
        <v>105.07</v>
      </c>
      <c r="C30">
        <v>107.25</v>
      </c>
      <c r="D30">
        <v>108.17</v>
      </c>
      <c r="E30">
        <v>104.21</v>
      </c>
      <c r="F30" t="s">
        <v>30</v>
      </c>
      <c r="G30" s="2">
        <v>-3.0200000000000001E-2</v>
      </c>
    </row>
    <row r="31" spans="1:7" x14ac:dyDescent="0.25">
      <c r="A31" s="1">
        <v>45788</v>
      </c>
      <c r="B31">
        <v>108.34</v>
      </c>
      <c r="C31">
        <v>106.35</v>
      </c>
      <c r="D31">
        <v>108.34</v>
      </c>
      <c r="E31">
        <v>106.18</v>
      </c>
      <c r="F31" t="s">
        <v>31</v>
      </c>
      <c r="G31" s="2">
        <v>4.8099999999999997E-2</v>
      </c>
    </row>
    <row r="32" spans="1:7" x14ac:dyDescent="0.25">
      <c r="A32" s="1">
        <v>45781</v>
      </c>
      <c r="B32">
        <v>103.37</v>
      </c>
      <c r="C32">
        <v>102.47</v>
      </c>
      <c r="D32">
        <v>103.86</v>
      </c>
      <c r="E32">
        <v>101.53</v>
      </c>
      <c r="F32" t="s">
        <v>32</v>
      </c>
      <c r="G32" s="2">
        <v>6.6E-3</v>
      </c>
    </row>
    <row r="33" spans="1:7" x14ac:dyDescent="0.25">
      <c r="A33" s="1">
        <v>45774</v>
      </c>
      <c r="B33">
        <v>102.69</v>
      </c>
      <c r="C33">
        <v>99.93</v>
      </c>
      <c r="D33">
        <v>102.79</v>
      </c>
      <c r="E33">
        <v>98.66</v>
      </c>
      <c r="F33" t="s">
        <v>33</v>
      </c>
      <c r="G33" s="2">
        <v>3.61E-2</v>
      </c>
    </row>
    <row r="34" spans="1:7" x14ac:dyDescent="0.25">
      <c r="A34" s="1">
        <v>45767</v>
      </c>
      <c r="B34">
        <v>99.12</v>
      </c>
      <c r="C34">
        <v>93.99</v>
      </c>
      <c r="D34">
        <v>99.91</v>
      </c>
      <c r="E34">
        <v>93.65</v>
      </c>
      <c r="F34" t="s">
        <v>34</v>
      </c>
      <c r="G34" s="2">
        <v>3.4799999999999998E-2</v>
      </c>
    </row>
    <row r="35" spans="1:7" x14ac:dyDescent="0.25">
      <c r="A35" s="1">
        <v>45760</v>
      </c>
      <c r="B35">
        <v>95.78</v>
      </c>
      <c r="C35">
        <v>96.49</v>
      </c>
      <c r="D35">
        <v>98.35</v>
      </c>
      <c r="E35">
        <v>95.25</v>
      </c>
      <c r="F35" t="s">
        <v>35</v>
      </c>
      <c r="G35" s="2">
        <v>1.6E-2</v>
      </c>
    </row>
    <row r="36" spans="1:7" x14ac:dyDescent="0.25">
      <c r="A36" s="1">
        <v>45753</v>
      </c>
      <c r="B36">
        <v>94.27</v>
      </c>
      <c r="C36">
        <v>89.58</v>
      </c>
      <c r="D36">
        <v>99.78</v>
      </c>
      <c r="E36">
        <v>89.09</v>
      </c>
      <c r="F36" t="s">
        <v>36</v>
      </c>
      <c r="G36" s="2">
        <v>-1.4200000000000001E-2</v>
      </c>
    </row>
    <row r="37" spans="1:7" x14ac:dyDescent="0.25">
      <c r="A37" s="1">
        <v>45746</v>
      </c>
      <c r="B37">
        <v>95.63</v>
      </c>
      <c r="C37">
        <v>103.88</v>
      </c>
      <c r="D37">
        <v>105.68</v>
      </c>
      <c r="E37">
        <v>94.81</v>
      </c>
      <c r="F37" t="s">
        <v>37</v>
      </c>
      <c r="G37" s="2">
        <v>-8.9399999999999993E-2</v>
      </c>
    </row>
    <row r="38" spans="1:7" x14ac:dyDescent="0.25">
      <c r="A38" s="1">
        <v>45739</v>
      </c>
      <c r="B38">
        <v>105.01</v>
      </c>
      <c r="C38">
        <v>107.22</v>
      </c>
      <c r="D38">
        <v>108.63</v>
      </c>
      <c r="E38">
        <v>104.95</v>
      </c>
      <c r="F38" t="s">
        <v>38</v>
      </c>
      <c r="G38" s="2">
        <v>-1.0999999999999999E-2</v>
      </c>
    </row>
    <row r="39" spans="1:7" x14ac:dyDescent="0.25">
      <c r="A39" s="1">
        <v>45732</v>
      </c>
      <c r="B39">
        <v>106.18</v>
      </c>
      <c r="C39">
        <v>104.9</v>
      </c>
      <c r="D39">
        <v>107.19</v>
      </c>
      <c r="E39">
        <v>104.61</v>
      </c>
      <c r="F39" t="s">
        <v>39</v>
      </c>
      <c r="G39" s="2">
        <v>1.1299999999999999E-2</v>
      </c>
    </row>
    <row r="40" spans="1:7" x14ac:dyDescent="0.25">
      <c r="A40" s="1">
        <v>45725</v>
      </c>
      <c r="B40">
        <v>105</v>
      </c>
      <c r="C40">
        <v>107.22</v>
      </c>
      <c r="D40">
        <v>107.26</v>
      </c>
      <c r="E40">
        <v>103.14</v>
      </c>
      <c r="F40" t="s">
        <v>40</v>
      </c>
      <c r="G40" s="2">
        <v>-1.1599999999999999E-2</v>
      </c>
    </row>
    <row r="41" spans="1:7" x14ac:dyDescent="0.25">
      <c r="A41" s="1">
        <v>45718</v>
      </c>
      <c r="B41">
        <v>106.23</v>
      </c>
      <c r="C41">
        <v>114.52</v>
      </c>
      <c r="D41">
        <v>114.54</v>
      </c>
      <c r="E41">
        <v>106.23</v>
      </c>
      <c r="F41" t="s">
        <v>41</v>
      </c>
      <c r="G41" s="2">
        <v>-6.0999999999999999E-2</v>
      </c>
    </row>
    <row r="42" spans="1:7" x14ac:dyDescent="0.25">
      <c r="A42" s="1">
        <v>45711</v>
      </c>
      <c r="B42">
        <v>113.14</v>
      </c>
      <c r="C42">
        <v>114.74</v>
      </c>
      <c r="D42">
        <v>115.09</v>
      </c>
      <c r="E42">
        <v>112.42</v>
      </c>
      <c r="F42" t="s">
        <v>42</v>
      </c>
      <c r="G42" s="2">
        <v>-2.3400000000000001E-2</v>
      </c>
    </row>
    <row r="43" spans="1:7" x14ac:dyDescent="0.25">
      <c r="A43" s="1">
        <v>45704</v>
      </c>
      <c r="B43">
        <v>115.85</v>
      </c>
      <c r="C43">
        <v>116.21</v>
      </c>
      <c r="D43">
        <v>116.91</v>
      </c>
      <c r="E43">
        <v>115.54</v>
      </c>
      <c r="F43" t="s">
        <v>43</v>
      </c>
      <c r="G43" s="2">
        <v>5.9999999999999995E-4</v>
      </c>
    </row>
    <row r="44" spans="1:7" x14ac:dyDescent="0.25">
      <c r="A44" s="1">
        <v>45697</v>
      </c>
      <c r="B44">
        <v>115.79</v>
      </c>
      <c r="C44">
        <v>116.15</v>
      </c>
      <c r="D44">
        <v>116.56</v>
      </c>
      <c r="E44">
        <v>115.19</v>
      </c>
      <c r="F44" t="s">
        <v>44</v>
      </c>
      <c r="G44" s="2">
        <v>-5.0000000000000001E-4</v>
      </c>
    </row>
    <row r="45" spans="1:7" x14ac:dyDescent="0.25">
      <c r="A45" s="1">
        <v>45690</v>
      </c>
      <c r="B45">
        <v>115.85</v>
      </c>
      <c r="C45">
        <v>114.68</v>
      </c>
      <c r="D45">
        <v>116.29</v>
      </c>
      <c r="E45">
        <v>114.15</v>
      </c>
      <c r="F45" t="s">
        <v>45</v>
      </c>
      <c r="G45" s="2">
        <v>-2.3999999999999998E-3</v>
      </c>
    </row>
    <row r="46" spans="1:7" x14ac:dyDescent="0.25">
      <c r="A46" s="1">
        <v>45683</v>
      </c>
      <c r="B46">
        <v>116.12</v>
      </c>
      <c r="C46">
        <v>113.24</v>
      </c>
      <c r="D46">
        <v>116.39</v>
      </c>
      <c r="E46">
        <v>111.71</v>
      </c>
      <c r="F46" t="s">
        <v>46</v>
      </c>
      <c r="G46" s="2">
        <v>1.26E-2</v>
      </c>
    </row>
    <row r="47" spans="1:7" x14ac:dyDescent="0.25">
      <c r="A47" s="1">
        <v>45676</v>
      </c>
      <c r="B47">
        <v>114.68</v>
      </c>
      <c r="C47">
        <v>114.45</v>
      </c>
      <c r="D47">
        <v>115.29</v>
      </c>
      <c r="E47">
        <v>113.81</v>
      </c>
      <c r="F47" t="s">
        <v>47</v>
      </c>
      <c r="G47" s="2">
        <v>1E-3</v>
      </c>
    </row>
    <row r="48" spans="1:7" x14ac:dyDescent="0.25">
      <c r="A48" s="1">
        <v>45669</v>
      </c>
      <c r="B48">
        <v>114.57</v>
      </c>
      <c r="C48">
        <v>111.59</v>
      </c>
      <c r="D48">
        <v>114.71</v>
      </c>
      <c r="E48">
        <v>111.03</v>
      </c>
      <c r="F48" t="s">
        <v>48</v>
      </c>
      <c r="G48" s="2">
        <v>2.4799999999999999E-2</v>
      </c>
    </row>
    <row r="49" spans="1:7" x14ac:dyDescent="0.25">
      <c r="A49" s="1">
        <v>45662</v>
      </c>
      <c r="B49">
        <v>111.79</v>
      </c>
      <c r="C49">
        <v>112.99</v>
      </c>
      <c r="D49">
        <v>113.6</v>
      </c>
      <c r="E49">
        <v>111.58</v>
      </c>
      <c r="F49" t="s">
        <v>49</v>
      </c>
      <c r="G49" s="2">
        <v>-9.4999999999999998E-3</v>
      </c>
    </row>
    <row r="50" spans="1:7" x14ac:dyDescent="0.25">
      <c r="A50" s="1">
        <v>45655</v>
      </c>
      <c r="B50">
        <v>112.86</v>
      </c>
      <c r="C50">
        <v>111.9</v>
      </c>
      <c r="D50">
        <v>113.11</v>
      </c>
      <c r="E50">
        <v>111.2</v>
      </c>
      <c r="F50" t="s">
        <v>50</v>
      </c>
      <c r="G50" s="2">
        <v>6.1999999999999998E-3</v>
      </c>
    </row>
    <row r="51" spans="1:7" x14ac:dyDescent="0.25">
      <c r="A51" s="1">
        <v>45648</v>
      </c>
      <c r="B51">
        <v>112.18</v>
      </c>
      <c r="C51">
        <v>111.82</v>
      </c>
      <c r="D51">
        <v>113.03</v>
      </c>
      <c r="E51">
        <v>111.32</v>
      </c>
      <c r="F51" t="s">
        <v>51</v>
      </c>
      <c r="G51" s="2">
        <v>3.0000000000000001E-3</v>
      </c>
    </row>
    <row r="52" spans="1:7" x14ac:dyDescent="0.25">
      <c r="A52" s="1">
        <v>45641</v>
      </c>
      <c r="B52">
        <v>111.85</v>
      </c>
      <c r="C52">
        <v>113.18</v>
      </c>
      <c r="D52">
        <v>114.14</v>
      </c>
      <c r="E52">
        <v>109.43</v>
      </c>
      <c r="F52" t="s">
        <v>52</v>
      </c>
      <c r="G52" s="2">
        <v>-1.2800000000000001E-2</v>
      </c>
    </row>
    <row r="53" spans="1:7" x14ac:dyDescent="0.25">
      <c r="A53" s="1">
        <v>45634</v>
      </c>
      <c r="B53">
        <v>113.29</v>
      </c>
      <c r="C53">
        <v>113.92</v>
      </c>
      <c r="D53">
        <v>114.11</v>
      </c>
      <c r="E53">
        <v>113</v>
      </c>
      <c r="F53" t="s">
        <v>53</v>
      </c>
      <c r="G53" s="2">
        <v>-3.3E-3</v>
      </c>
    </row>
    <row r="54" spans="1:7" x14ac:dyDescent="0.25">
      <c r="A54" s="1">
        <v>45627</v>
      </c>
      <c r="B54">
        <v>113.67</v>
      </c>
      <c r="C54">
        <v>112.82</v>
      </c>
      <c r="D54">
        <v>114.19</v>
      </c>
      <c r="E54">
        <v>112.74</v>
      </c>
      <c r="F54" t="s">
        <v>54</v>
      </c>
      <c r="G54" s="2">
        <v>1.03E-2</v>
      </c>
    </row>
    <row r="55" spans="1:7" x14ac:dyDescent="0.25">
      <c r="A55" s="1">
        <v>45620</v>
      </c>
      <c r="B55">
        <v>112.51</v>
      </c>
      <c r="C55">
        <v>112.75</v>
      </c>
      <c r="D55">
        <v>112.75</v>
      </c>
      <c r="E55">
        <v>111.4</v>
      </c>
      <c r="F55" t="s">
        <v>55</v>
      </c>
      <c r="G55" s="2">
        <v>-1E-4</v>
      </c>
    </row>
    <row r="56" spans="1:7" x14ac:dyDescent="0.25">
      <c r="A56" s="1">
        <v>45613</v>
      </c>
      <c r="B56">
        <v>112.52</v>
      </c>
      <c r="C56">
        <v>109.57</v>
      </c>
      <c r="D56">
        <v>112.68</v>
      </c>
      <c r="E56">
        <v>108.57</v>
      </c>
      <c r="F56" t="s">
        <v>56</v>
      </c>
      <c r="G56" s="2">
        <v>2.75E-2</v>
      </c>
    </row>
    <row r="57" spans="1:7" x14ac:dyDescent="0.25">
      <c r="A57" s="1">
        <v>45606</v>
      </c>
      <c r="B57">
        <v>109.5</v>
      </c>
      <c r="C57">
        <v>110.6</v>
      </c>
      <c r="D57">
        <v>111.74</v>
      </c>
      <c r="E57">
        <v>109.45</v>
      </c>
      <c r="F57" t="s">
        <v>57</v>
      </c>
      <c r="G57" s="2">
        <v>-3.0000000000000001E-3</v>
      </c>
    </row>
    <row r="58" spans="1:7" x14ac:dyDescent="0.25">
      <c r="A58" s="1">
        <v>45599</v>
      </c>
      <c r="B58">
        <v>109.83</v>
      </c>
      <c r="C58">
        <v>104.7</v>
      </c>
      <c r="D58">
        <v>109.83</v>
      </c>
      <c r="E58">
        <v>104.4</v>
      </c>
      <c r="F58" t="s">
        <v>58</v>
      </c>
      <c r="G58" s="2">
        <v>4.2099999999999999E-2</v>
      </c>
    </row>
    <row r="59" spans="1:7" x14ac:dyDescent="0.25">
      <c r="A59" s="1">
        <v>45592</v>
      </c>
      <c r="B59">
        <v>105.39</v>
      </c>
      <c r="C59">
        <v>107.11</v>
      </c>
      <c r="D59">
        <v>107.2</v>
      </c>
      <c r="E59">
        <v>104.47</v>
      </c>
      <c r="F59" t="s">
        <v>59</v>
      </c>
      <c r="G59" s="2">
        <v>-1.52E-2</v>
      </c>
    </row>
    <row r="60" spans="1:7" x14ac:dyDescent="0.25">
      <c r="A60" s="1">
        <v>45585</v>
      </c>
      <c r="B60">
        <v>107.03</v>
      </c>
      <c r="C60">
        <v>107.52</v>
      </c>
      <c r="D60">
        <v>107.61</v>
      </c>
      <c r="E60">
        <v>106.57</v>
      </c>
      <c r="F60" t="s">
        <v>60</v>
      </c>
      <c r="G60" s="2">
        <v>-3.8999999999999998E-3</v>
      </c>
    </row>
    <row r="61" spans="1:7" x14ac:dyDescent="0.25">
      <c r="A61" s="1">
        <v>45578</v>
      </c>
      <c r="B61">
        <v>107.44</v>
      </c>
      <c r="C61">
        <v>106.23</v>
      </c>
      <c r="D61">
        <v>108.13</v>
      </c>
      <c r="E61">
        <v>106.19</v>
      </c>
      <c r="F61" t="s">
        <v>61</v>
      </c>
      <c r="G61" s="2">
        <v>1.3299999999999999E-2</v>
      </c>
    </row>
    <row r="62" spans="1:7" x14ac:dyDescent="0.25">
      <c r="A62" s="1">
        <v>45571</v>
      </c>
      <c r="B62">
        <v>106.03</v>
      </c>
      <c r="C62">
        <v>104.83</v>
      </c>
      <c r="D62">
        <v>106.11</v>
      </c>
      <c r="E62">
        <v>103.77</v>
      </c>
      <c r="F62" t="s">
        <v>62</v>
      </c>
      <c r="G62" s="2">
        <v>1.5599999999999999E-2</v>
      </c>
    </row>
    <row r="63" spans="1:7" x14ac:dyDescent="0.25">
      <c r="A63" s="1">
        <v>45564</v>
      </c>
      <c r="B63">
        <v>104.4</v>
      </c>
      <c r="C63">
        <v>103.4</v>
      </c>
      <c r="D63">
        <v>105</v>
      </c>
      <c r="E63">
        <v>102.82</v>
      </c>
      <c r="F63" t="s">
        <v>63</v>
      </c>
      <c r="G63" s="2">
        <v>6.7999999999999996E-3</v>
      </c>
    </row>
    <row r="64" spans="1:7" x14ac:dyDescent="0.25">
      <c r="A64" s="1">
        <v>45557</v>
      </c>
      <c r="B64">
        <v>103.69</v>
      </c>
      <c r="C64">
        <v>102.52</v>
      </c>
      <c r="D64">
        <v>104.06</v>
      </c>
      <c r="E64">
        <v>102.49</v>
      </c>
      <c r="F64" t="s">
        <v>64</v>
      </c>
      <c r="G64" s="2">
        <v>1.41E-2</v>
      </c>
    </row>
    <row r="65" spans="1:7" x14ac:dyDescent="0.25">
      <c r="A65" s="1">
        <v>45550</v>
      </c>
      <c r="B65">
        <v>102.25</v>
      </c>
      <c r="C65">
        <v>101.56</v>
      </c>
      <c r="D65">
        <v>103.12</v>
      </c>
      <c r="E65">
        <v>101.22</v>
      </c>
      <c r="F65" t="s">
        <v>65</v>
      </c>
      <c r="G65" s="2">
        <v>3.7000000000000002E-3</v>
      </c>
    </row>
    <row r="66" spans="1:7" x14ac:dyDescent="0.25">
      <c r="A66" s="1">
        <v>45543</v>
      </c>
      <c r="B66">
        <v>101.88</v>
      </c>
      <c r="C66">
        <v>99.12</v>
      </c>
      <c r="D66">
        <v>101.89</v>
      </c>
      <c r="E66">
        <v>98.86</v>
      </c>
      <c r="F66" t="s">
        <v>66</v>
      </c>
      <c r="G66" s="2">
        <v>3.4500000000000003E-2</v>
      </c>
    </row>
    <row r="67" spans="1:7" x14ac:dyDescent="0.25">
      <c r="A67" s="1">
        <v>45536</v>
      </c>
      <c r="B67">
        <v>98.49</v>
      </c>
      <c r="C67">
        <v>102.42</v>
      </c>
      <c r="D67">
        <v>102.8</v>
      </c>
      <c r="E67">
        <v>98.32</v>
      </c>
      <c r="F67" t="s">
        <v>67</v>
      </c>
      <c r="G67" s="2">
        <v>-3.5099999999999999E-2</v>
      </c>
    </row>
    <row r="68" spans="1:7" x14ac:dyDescent="0.25">
      <c r="A68" s="1">
        <v>45529</v>
      </c>
      <c r="B68">
        <v>102.07</v>
      </c>
      <c r="C68">
        <v>101.27</v>
      </c>
      <c r="D68">
        <v>102.53</v>
      </c>
      <c r="E68">
        <v>101.01</v>
      </c>
      <c r="G68" s="2">
        <v>8.3000000000000001E-3</v>
      </c>
    </row>
    <row r="69" spans="1:7" x14ac:dyDescent="0.25">
      <c r="A69" s="1">
        <v>45522</v>
      </c>
      <c r="B69">
        <v>101.22</v>
      </c>
      <c r="C69">
        <v>100.78</v>
      </c>
      <c r="D69">
        <v>101.72</v>
      </c>
      <c r="E69">
        <v>100.66</v>
      </c>
      <c r="F69" t="s">
        <v>68</v>
      </c>
      <c r="G69" s="2">
        <v>3.0999999999999999E-3</v>
      </c>
    </row>
    <row r="70" spans="1:7" x14ac:dyDescent="0.25">
      <c r="A70" s="1">
        <v>45515</v>
      </c>
      <c r="B70">
        <v>100.91</v>
      </c>
      <c r="C70">
        <v>97.98</v>
      </c>
      <c r="D70">
        <v>101.28</v>
      </c>
      <c r="E70">
        <v>97.6</v>
      </c>
      <c r="F70" t="s">
        <v>69</v>
      </c>
      <c r="G70" s="2">
        <v>3.3700000000000001E-2</v>
      </c>
    </row>
    <row r="71" spans="1:7" x14ac:dyDescent="0.25">
      <c r="A71" s="1">
        <v>45508</v>
      </c>
      <c r="B71">
        <v>97.62</v>
      </c>
      <c r="C71">
        <v>94.48</v>
      </c>
      <c r="D71">
        <v>98.02</v>
      </c>
      <c r="E71">
        <v>92.75</v>
      </c>
      <c r="F71" t="s">
        <v>70</v>
      </c>
      <c r="G71" s="2">
        <v>2.8999999999999998E-3</v>
      </c>
    </row>
    <row r="72" spans="1:7" x14ac:dyDescent="0.25">
      <c r="A72" s="1">
        <v>45501</v>
      </c>
      <c r="B72">
        <v>97.34</v>
      </c>
      <c r="C72">
        <v>101.18</v>
      </c>
      <c r="D72">
        <v>102.6</v>
      </c>
      <c r="E72">
        <v>97</v>
      </c>
      <c r="F72" t="s">
        <v>71</v>
      </c>
      <c r="G72" s="2">
        <v>-3.1199999999999999E-2</v>
      </c>
    </row>
    <row r="73" spans="1:7" x14ac:dyDescent="0.25">
      <c r="A73" s="1">
        <v>45494</v>
      </c>
      <c r="B73">
        <v>100.47</v>
      </c>
      <c r="C73">
        <v>101.39</v>
      </c>
      <c r="D73">
        <v>102.56</v>
      </c>
      <c r="E73">
        <v>99.6</v>
      </c>
      <c r="F73" t="s">
        <v>72</v>
      </c>
      <c r="G73" s="2">
        <v>-6.4999999999999997E-3</v>
      </c>
    </row>
    <row r="74" spans="1:7" x14ac:dyDescent="0.25">
      <c r="A74" s="1">
        <v>45487</v>
      </c>
      <c r="B74">
        <v>101.14</v>
      </c>
      <c r="C74">
        <v>103.29</v>
      </c>
      <c r="D74">
        <v>103.54</v>
      </c>
      <c r="E74">
        <v>101.12</v>
      </c>
      <c r="F74" t="s">
        <v>73</v>
      </c>
      <c r="G74" s="2">
        <v>-2.0799999999999999E-2</v>
      </c>
    </row>
    <row r="75" spans="1:7" x14ac:dyDescent="0.25">
      <c r="A75" s="1">
        <v>45480</v>
      </c>
      <c r="B75">
        <v>103.29</v>
      </c>
      <c r="C75">
        <v>102.26</v>
      </c>
      <c r="D75">
        <v>103.46</v>
      </c>
      <c r="E75">
        <v>102.24</v>
      </c>
      <c r="F75" t="s">
        <v>74</v>
      </c>
      <c r="G75" s="2">
        <v>1.0999999999999999E-2</v>
      </c>
    </row>
    <row r="76" spans="1:7" x14ac:dyDescent="0.25">
      <c r="A76" s="1">
        <v>45473</v>
      </c>
      <c r="B76">
        <v>102.17</v>
      </c>
      <c r="C76">
        <v>101.56</v>
      </c>
      <c r="D76">
        <v>102.39</v>
      </c>
      <c r="E76">
        <v>101.1</v>
      </c>
      <c r="F76" t="s">
        <v>75</v>
      </c>
      <c r="G76" s="2">
        <v>1.1000000000000001E-3</v>
      </c>
    </row>
    <row r="77" spans="1:7" x14ac:dyDescent="0.25">
      <c r="A77" s="1">
        <v>45466</v>
      </c>
      <c r="B77">
        <v>102.06</v>
      </c>
      <c r="C77">
        <v>101.57</v>
      </c>
      <c r="D77">
        <v>102.29</v>
      </c>
      <c r="E77">
        <v>101.3</v>
      </c>
      <c r="F77" t="s">
        <v>76</v>
      </c>
      <c r="G77" s="2">
        <v>4.1999999999999997E-3</v>
      </c>
    </row>
    <row r="78" spans="1:7" x14ac:dyDescent="0.25">
      <c r="A78" s="1">
        <v>45459</v>
      </c>
      <c r="B78">
        <v>101.63</v>
      </c>
      <c r="C78">
        <v>101.08</v>
      </c>
      <c r="D78">
        <v>102.23</v>
      </c>
      <c r="E78">
        <v>100.71</v>
      </c>
      <c r="F78" t="s">
        <v>77</v>
      </c>
      <c r="G78" s="2">
        <v>7.4000000000000003E-3</v>
      </c>
    </row>
    <row r="79" spans="1:7" x14ac:dyDescent="0.25">
      <c r="A79" s="1">
        <v>45452</v>
      </c>
      <c r="B79">
        <v>100.88</v>
      </c>
      <c r="C79">
        <v>99.87</v>
      </c>
      <c r="D79">
        <v>101.09</v>
      </c>
      <c r="E79">
        <v>99.71</v>
      </c>
      <c r="F79" t="s">
        <v>78</v>
      </c>
      <c r="G79" s="2">
        <v>1.0699999999999999E-2</v>
      </c>
    </row>
    <row r="80" spans="1:7" x14ac:dyDescent="0.25">
      <c r="A80" s="1">
        <v>45445</v>
      </c>
      <c r="B80">
        <v>99.8</v>
      </c>
      <c r="C80">
        <v>98.71</v>
      </c>
      <c r="D80">
        <v>99.96</v>
      </c>
      <c r="E80">
        <v>97.57</v>
      </c>
      <c r="F80" t="s">
        <v>79</v>
      </c>
      <c r="G80" s="2">
        <v>2.5399999999999999E-2</v>
      </c>
    </row>
    <row r="81" spans="1:7" x14ac:dyDescent="0.25">
      <c r="A81" s="1">
        <v>45438</v>
      </c>
      <c r="B81">
        <v>97.33</v>
      </c>
      <c r="C81">
        <v>98.78</v>
      </c>
      <c r="D81">
        <v>98.95</v>
      </c>
      <c r="E81">
        <v>97.22</v>
      </c>
      <c r="F81" t="s">
        <v>80</v>
      </c>
      <c r="G81" s="2">
        <v>-1.4E-2</v>
      </c>
    </row>
    <row r="82" spans="1:7" x14ac:dyDescent="0.25">
      <c r="A82" s="1">
        <v>45431</v>
      </c>
      <c r="B82">
        <v>98.71</v>
      </c>
      <c r="C82">
        <v>98.85</v>
      </c>
      <c r="D82">
        <v>99.53</v>
      </c>
      <c r="E82">
        <v>98.31</v>
      </c>
      <c r="F82" t="s">
        <v>81</v>
      </c>
      <c r="G82" s="2">
        <v>1.2999999999999999E-3</v>
      </c>
    </row>
    <row r="83" spans="1:7" x14ac:dyDescent="0.25">
      <c r="A83" s="1">
        <v>45424</v>
      </c>
      <c r="B83">
        <v>98.59</v>
      </c>
      <c r="C83">
        <v>98.12</v>
      </c>
      <c r="D83">
        <v>98.99</v>
      </c>
      <c r="E83">
        <v>97.71</v>
      </c>
      <c r="F83" t="s">
        <v>82</v>
      </c>
      <c r="G83" s="2">
        <v>6.1999999999999998E-3</v>
      </c>
    </row>
    <row r="84" spans="1:7" x14ac:dyDescent="0.25">
      <c r="A84" s="1">
        <v>45417</v>
      </c>
      <c r="B84">
        <v>97.98</v>
      </c>
      <c r="C84">
        <v>96.52</v>
      </c>
      <c r="D84">
        <v>98.27</v>
      </c>
      <c r="E84">
        <v>96.48</v>
      </c>
      <c r="F84" t="s">
        <v>83</v>
      </c>
      <c r="G84" s="2">
        <v>1.9699999999999999E-2</v>
      </c>
    </row>
    <row r="85" spans="1:7" x14ac:dyDescent="0.25">
      <c r="A85" s="1">
        <v>45410</v>
      </c>
      <c r="B85">
        <v>96.09</v>
      </c>
      <c r="C85">
        <v>96.5</v>
      </c>
      <c r="D85">
        <v>96.7</v>
      </c>
      <c r="E85">
        <v>95.25</v>
      </c>
      <c r="F85" t="s">
        <v>84</v>
      </c>
      <c r="G85" s="2">
        <v>-2.3999999999999998E-3</v>
      </c>
    </row>
    <row r="86" spans="1:7" x14ac:dyDescent="0.25">
      <c r="A86" s="1">
        <v>45403</v>
      </c>
      <c r="B86">
        <v>96.32</v>
      </c>
      <c r="C86">
        <v>94.72</v>
      </c>
      <c r="D86">
        <v>96.52</v>
      </c>
      <c r="E86">
        <v>94.3</v>
      </c>
      <c r="F86" t="s">
        <v>85</v>
      </c>
      <c r="G86" s="2">
        <v>1.95E-2</v>
      </c>
    </row>
    <row r="87" spans="1:7" x14ac:dyDescent="0.25">
      <c r="A87" s="1">
        <v>45396</v>
      </c>
      <c r="B87">
        <v>94.48</v>
      </c>
      <c r="C87">
        <v>97.44</v>
      </c>
      <c r="D87">
        <v>97.86</v>
      </c>
      <c r="E87">
        <v>94.31</v>
      </c>
      <c r="F87" t="s">
        <v>86</v>
      </c>
      <c r="G87" s="2">
        <v>-3.0800000000000001E-2</v>
      </c>
    </row>
    <row r="88" spans="1:7" x14ac:dyDescent="0.25">
      <c r="A88" s="1">
        <v>45389</v>
      </c>
      <c r="B88">
        <v>97.49</v>
      </c>
      <c r="C88">
        <v>96.77</v>
      </c>
      <c r="D88">
        <v>98.1</v>
      </c>
      <c r="E88">
        <v>95.62</v>
      </c>
      <c r="F88" t="s">
        <v>87</v>
      </c>
      <c r="G88" s="2">
        <v>7.6E-3</v>
      </c>
    </row>
    <row r="89" spans="1:7" x14ac:dyDescent="0.25">
      <c r="A89" s="1">
        <v>45382</v>
      </c>
      <c r="B89">
        <v>96.75</v>
      </c>
      <c r="C89">
        <v>98.35</v>
      </c>
      <c r="D89">
        <v>98.41</v>
      </c>
      <c r="E89">
        <v>96.04</v>
      </c>
      <c r="F89" t="s">
        <v>88</v>
      </c>
      <c r="G89" s="2">
        <v>-1.2800000000000001E-2</v>
      </c>
    </row>
    <row r="90" spans="1:7" x14ac:dyDescent="0.25">
      <c r="A90" s="1">
        <v>45375</v>
      </c>
      <c r="B90">
        <v>98.01</v>
      </c>
      <c r="C90">
        <v>97.45</v>
      </c>
      <c r="D90">
        <v>98.12</v>
      </c>
      <c r="E90">
        <v>97.02</v>
      </c>
      <c r="F90" t="s">
        <v>89</v>
      </c>
      <c r="G90" s="2">
        <v>5.1999999999999998E-3</v>
      </c>
    </row>
    <row r="91" spans="1:7" x14ac:dyDescent="0.25">
      <c r="A91" s="1">
        <v>45368</v>
      </c>
      <c r="B91">
        <v>97.5</v>
      </c>
      <c r="C91">
        <v>95.37</v>
      </c>
      <c r="D91">
        <v>97.83</v>
      </c>
      <c r="E91">
        <v>95.22</v>
      </c>
      <c r="F91" t="s">
        <v>90</v>
      </c>
      <c r="G91" s="2">
        <v>2.6700000000000002E-2</v>
      </c>
    </row>
    <row r="92" spans="1:7" x14ac:dyDescent="0.25">
      <c r="A92" s="1">
        <v>45361</v>
      </c>
      <c r="B92">
        <v>94.97</v>
      </c>
      <c r="C92">
        <v>94.58</v>
      </c>
      <c r="D92">
        <v>95.85</v>
      </c>
      <c r="E92">
        <v>94.35</v>
      </c>
      <c r="F92" t="s">
        <v>91</v>
      </c>
      <c r="G92" s="2">
        <v>-3.0000000000000001E-3</v>
      </c>
    </row>
    <row r="93" spans="1:7" x14ac:dyDescent="0.25">
      <c r="A93" s="1">
        <v>45354</v>
      </c>
      <c r="B93">
        <v>95.26</v>
      </c>
      <c r="C93">
        <v>95.25</v>
      </c>
      <c r="D93">
        <v>95.73</v>
      </c>
      <c r="E93">
        <v>94.44</v>
      </c>
      <c r="F93" t="s">
        <v>92</v>
      </c>
      <c r="G93" s="2">
        <v>1.1999999999999999E-3</v>
      </c>
    </row>
    <row r="94" spans="1:7" x14ac:dyDescent="0.25">
      <c r="A94" s="1">
        <v>45347</v>
      </c>
      <c r="B94">
        <v>95.14</v>
      </c>
      <c r="C94">
        <v>94.52</v>
      </c>
      <c r="D94">
        <v>95.32</v>
      </c>
      <c r="E94">
        <v>93.98</v>
      </c>
      <c r="F94" t="s">
        <v>93</v>
      </c>
      <c r="G94" s="2">
        <v>4.5999999999999999E-3</v>
      </c>
    </row>
    <row r="95" spans="1:7" x14ac:dyDescent="0.25">
      <c r="A95" s="1">
        <v>45340</v>
      </c>
      <c r="B95">
        <v>94.71</v>
      </c>
      <c r="C95">
        <v>93.66</v>
      </c>
      <c r="D95">
        <v>94.95</v>
      </c>
      <c r="E95">
        <v>92.75</v>
      </c>
      <c r="F95" t="s">
        <v>94</v>
      </c>
      <c r="G95" s="2">
        <v>7.4999999999999997E-3</v>
      </c>
    </row>
    <row r="96" spans="1:7" x14ac:dyDescent="0.25">
      <c r="A96" s="1">
        <v>45333</v>
      </c>
      <c r="B96">
        <v>94.01</v>
      </c>
      <c r="C96">
        <v>93.46</v>
      </c>
      <c r="D96">
        <v>94.21</v>
      </c>
      <c r="E96">
        <v>92.72</v>
      </c>
      <c r="F96" t="s">
        <v>95</v>
      </c>
      <c r="G96" s="2">
        <v>8.6999999999999994E-3</v>
      </c>
    </row>
    <row r="97" spans="1:7" x14ac:dyDescent="0.25">
      <c r="A97" s="1">
        <v>45326</v>
      </c>
      <c r="B97">
        <v>93.2</v>
      </c>
      <c r="C97">
        <v>92.3</v>
      </c>
      <c r="D97">
        <v>93.4</v>
      </c>
      <c r="E97">
        <v>92.2</v>
      </c>
      <c r="F97" t="s">
        <v>96</v>
      </c>
      <c r="G97" s="2">
        <v>1.0200000000000001E-2</v>
      </c>
    </row>
    <row r="98" spans="1:7" x14ac:dyDescent="0.25">
      <c r="A98" s="1">
        <v>45319</v>
      </c>
      <c r="B98">
        <v>92.25</v>
      </c>
      <c r="C98">
        <v>91.24</v>
      </c>
      <c r="D98">
        <v>92.26</v>
      </c>
      <c r="E98">
        <v>90.67</v>
      </c>
      <c r="F98" t="s">
        <v>97</v>
      </c>
      <c r="G98" s="2">
        <v>1.2500000000000001E-2</v>
      </c>
    </row>
    <row r="99" spans="1:7" x14ac:dyDescent="0.25">
      <c r="A99" s="1">
        <v>45312</v>
      </c>
      <c r="B99">
        <v>91.12</v>
      </c>
      <c r="C99">
        <v>89.89</v>
      </c>
      <c r="D99">
        <v>91.22</v>
      </c>
      <c r="E99">
        <v>89.77</v>
      </c>
      <c r="F99" t="s">
        <v>98</v>
      </c>
      <c r="G99" s="2">
        <v>2.3400000000000001E-2</v>
      </c>
    </row>
    <row r="100" spans="1:7" x14ac:dyDescent="0.25">
      <c r="A100" s="1">
        <v>45305</v>
      </c>
      <c r="B100">
        <v>89.03</v>
      </c>
      <c r="C100">
        <v>88.82</v>
      </c>
      <c r="D100">
        <v>89.2</v>
      </c>
      <c r="E100">
        <v>88</v>
      </c>
      <c r="F100" t="s">
        <v>99</v>
      </c>
      <c r="G100" s="2">
        <v>4.1999999999999997E-3</v>
      </c>
    </row>
    <row r="101" spans="1:7" x14ac:dyDescent="0.25">
      <c r="A101" s="1">
        <v>45298</v>
      </c>
      <c r="B101">
        <v>88.66</v>
      </c>
      <c r="C101">
        <v>87.4</v>
      </c>
      <c r="D101">
        <v>88.92</v>
      </c>
      <c r="E101">
        <v>87.25</v>
      </c>
      <c r="F101" t="s">
        <v>100</v>
      </c>
      <c r="G101" s="2">
        <v>1.29E-2</v>
      </c>
    </row>
    <row r="102" spans="1:7" x14ac:dyDescent="0.25">
      <c r="A102" s="1">
        <v>45291</v>
      </c>
      <c r="B102">
        <v>87.53</v>
      </c>
      <c r="C102">
        <v>88.46</v>
      </c>
      <c r="D102">
        <v>88.49</v>
      </c>
      <c r="E102">
        <v>87</v>
      </c>
      <c r="F102" t="s">
        <v>101</v>
      </c>
      <c r="G102" s="2">
        <v>-8.0000000000000002E-3</v>
      </c>
    </row>
    <row r="103" spans="1:7" x14ac:dyDescent="0.25">
      <c r="A103" s="1">
        <v>45284</v>
      </c>
      <c r="B103">
        <v>88.24</v>
      </c>
      <c r="C103">
        <v>88.01</v>
      </c>
      <c r="D103">
        <v>88.38</v>
      </c>
      <c r="E103">
        <v>87.6</v>
      </c>
      <c r="F103" t="s">
        <v>102</v>
      </c>
      <c r="G103" s="2">
        <v>3.5000000000000001E-3</v>
      </c>
    </row>
    <row r="104" spans="1:7" x14ac:dyDescent="0.25">
      <c r="A104" s="1">
        <v>45277</v>
      </c>
      <c r="B104">
        <v>87.93</v>
      </c>
      <c r="C104">
        <v>87.75</v>
      </c>
      <c r="D104">
        <v>88.37</v>
      </c>
      <c r="E104">
        <v>87.47</v>
      </c>
      <c r="F104" t="s">
        <v>103</v>
      </c>
      <c r="G104" s="2">
        <v>1E-3</v>
      </c>
    </row>
    <row r="105" spans="1:7" x14ac:dyDescent="0.25">
      <c r="A105" s="1">
        <v>45270</v>
      </c>
      <c r="B105">
        <v>87.85</v>
      </c>
      <c r="C105">
        <v>86.77</v>
      </c>
      <c r="D105">
        <v>88.18</v>
      </c>
      <c r="E105">
        <v>86.58</v>
      </c>
      <c r="F105" t="s">
        <v>104</v>
      </c>
      <c r="G105" s="2">
        <v>1.38E-2</v>
      </c>
    </row>
    <row r="106" spans="1:7" x14ac:dyDescent="0.25">
      <c r="A106" s="1">
        <v>45263</v>
      </c>
      <c r="B106">
        <v>86.65</v>
      </c>
      <c r="C106">
        <v>85.54</v>
      </c>
      <c r="D106">
        <v>86.74</v>
      </c>
      <c r="E106">
        <v>85.25</v>
      </c>
      <c r="F106" t="s">
        <v>105</v>
      </c>
      <c r="G106" s="2">
        <v>1.2999999999999999E-2</v>
      </c>
    </row>
    <row r="107" spans="1:7" x14ac:dyDescent="0.25">
      <c r="A107" s="1">
        <v>45256</v>
      </c>
      <c r="B107">
        <v>85.54</v>
      </c>
      <c r="C107">
        <v>84.25</v>
      </c>
      <c r="D107">
        <v>86.49</v>
      </c>
      <c r="E107">
        <v>83.79</v>
      </c>
      <c r="F107" t="s">
        <v>106</v>
      </c>
      <c r="G107" s="2">
        <v>1.2200000000000001E-2</v>
      </c>
    </row>
    <row r="108" spans="1:7" x14ac:dyDescent="0.25">
      <c r="A108" s="1">
        <v>45249</v>
      </c>
      <c r="B108">
        <v>84.51</v>
      </c>
      <c r="C108">
        <v>83.74</v>
      </c>
      <c r="D108">
        <v>84.87</v>
      </c>
      <c r="E108">
        <v>83.74</v>
      </c>
      <c r="F108" t="s">
        <v>107</v>
      </c>
      <c r="G108" s="2">
        <v>6.7000000000000002E-3</v>
      </c>
    </row>
    <row r="109" spans="1:7" x14ac:dyDescent="0.25">
      <c r="A109" s="1">
        <v>45242</v>
      </c>
      <c r="B109">
        <v>83.95</v>
      </c>
      <c r="C109">
        <v>83.02</v>
      </c>
      <c r="D109">
        <v>84.39</v>
      </c>
      <c r="E109">
        <v>83</v>
      </c>
      <c r="F109" t="s">
        <v>108</v>
      </c>
      <c r="G109" s="2">
        <v>1.5100000000000001E-2</v>
      </c>
    </row>
    <row r="110" spans="1:7" x14ac:dyDescent="0.25">
      <c r="A110" s="1">
        <v>45235</v>
      </c>
      <c r="B110">
        <v>82.7</v>
      </c>
      <c r="C110">
        <v>82.46</v>
      </c>
      <c r="D110">
        <v>83.05</v>
      </c>
      <c r="E110">
        <v>82.21</v>
      </c>
      <c r="F110" t="s">
        <v>109</v>
      </c>
      <c r="G110" s="2">
        <v>2.2000000000000001E-3</v>
      </c>
    </row>
    <row r="111" spans="1:7" x14ac:dyDescent="0.25">
      <c r="A111" s="1">
        <v>45228</v>
      </c>
      <c r="B111">
        <v>82.52</v>
      </c>
      <c r="C111">
        <v>79.56</v>
      </c>
      <c r="D111">
        <v>82.53</v>
      </c>
      <c r="E111">
        <v>78.83</v>
      </c>
      <c r="F111" t="s">
        <v>110</v>
      </c>
      <c r="G111" s="2">
        <v>4.1399999999999999E-2</v>
      </c>
    </row>
    <row r="112" spans="1:7" x14ac:dyDescent="0.25">
      <c r="A112" s="1">
        <v>45221</v>
      </c>
      <c r="B112">
        <v>79.239999999999995</v>
      </c>
      <c r="C112">
        <v>80.73</v>
      </c>
      <c r="D112">
        <v>81.13</v>
      </c>
      <c r="E112">
        <v>79.239999999999995</v>
      </c>
      <c r="F112" t="s">
        <v>111</v>
      </c>
      <c r="G112" s="2">
        <v>-1.8599999999999998E-2</v>
      </c>
    </row>
    <row r="113" spans="1:7" x14ac:dyDescent="0.25">
      <c r="A113" s="1">
        <v>45214</v>
      </c>
      <c r="B113">
        <v>80.739999999999995</v>
      </c>
      <c r="C113">
        <v>83.4</v>
      </c>
      <c r="D113">
        <v>83.92</v>
      </c>
      <c r="E113">
        <v>80.73</v>
      </c>
      <c r="F113" t="s">
        <v>84</v>
      </c>
      <c r="G113" s="2">
        <v>-3.2599999999999997E-2</v>
      </c>
    </row>
    <row r="114" spans="1:7" x14ac:dyDescent="0.25">
      <c r="A114" s="1">
        <v>45207</v>
      </c>
      <c r="B114">
        <v>83.46</v>
      </c>
      <c r="C114">
        <v>82.18</v>
      </c>
      <c r="D114">
        <v>84.12</v>
      </c>
      <c r="E114">
        <v>81.98</v>
      </c>
      <c r="F114" t="s">
        <v>112</v>
      </c>
      <c r="G114" s="2">
        <v>1.83E-2</v>
      </c>
    </row>
    <row r="115" spans="1:7" x14ac:dyDescent="0.25">
      <c r="A115" s="1">
        <v>45200</v>
      </c>
      <c r="B115">
        <v>81.97</v>
      </c>
      <c r="C115">
        <v>82.79</v>
      </c>
      <c r="D115">
        <v>82.97</v>
      </c>
      <c r="E115">
        <v>81.25</v>
      </c>
      <c r="F115" t="s">
        <v>113</v>
      </c>
      <c r="G115" s="2">
        <v>-1.03E-2</v>
      </c>
    </row>
    <row r="116" spans="1:7" x14ac:dyDescent="0.25">
      <c r="A116" s="1">
        <v>45193</v>
      </c>
      <c r="B116">
        <v>82.82</v>
      </c>
      <c r="C116">
        <v>82.69</v>
      </c>
      <c r="D116">
        <v>83.23</v>
      </c>
      <c r="E116">
        <v>82.24</v>
      </c>
      <c r="F116" t="s">
        <v>114</v>
      </c>
      <c r="G116" s="2">
        <v>-2.7000000000000001E-3</v>
      </c>
    </row>
    <row r="117" spans="1:7" x14ac:dyDescent="0.25">
      <c r="A117" s="1">
        <v>45186</v>
      </c>
      <c r="B117">
        <v>83.05</v>
      </c>
      <c r="C117">
        <v>84.91</v>
      </c>
      <c r="D117">
        <v>84.91</v>
      </c>
      <c r="E117">
        <v>82.72</v>
      </c>
      <c r="F117" t="s">
        <v>115</v>
      </c>
      <c r="G117" s="2">
        <v>-2.18E-2</v>
      </c>
    </row>
    <row r="118" spans="1:7" x14ac:dyDescent="0.25">
      <c r="A118" s="1">
        <v>45179</v>
      </c>
      <c r="B118">
        <v>84.9</v>
      </c>
      <c r="C118">
        <v>84.29</v>
      </c>
      <c r="D118">
        <v>85.87</v>
      </c>
      <c r="E118">
        <v>83.89</v>
      </c>
      <c r="F118" t="s">
        <v>116</v>
      </c>
      <c r="G118" s="2">
        <v>7.6E-3</v>
      </c>
    </row>
    <row r="119" spans="1:7" x14ac:dyDescent="0.25">
      <c r="A119" s="1">
        <v>45172</v>
      </c>
      <c r="B119">
        <v>84.26</v>
      </c>
      <c r="C119">
        <v>84.81</v>
      </c>
      <c r="D119">
        <v>84.98</v>
      </c>
      <c r="E119">
        <v>83.79</v>
      </c>
      <c r="F119" t="s">
        <v>3</v>
      </c>
      <c r="G119" s="2">
        <v>-2.8999999999999998E-3</v>
      </c>
    </row>
    <row r="120" spans="1:7" x14ac:dyDescent="0.25">
      <c r="A120" s="1">
        <v>45165</v>
      </c>
      <c r="B120">
        <v>84.5</v>
      </c>
      <c r="C120">
        <v>82.55</v>
      </c>
      <c r="D120">
        <v>84.63</v>
      </c>
      <c r="E120">
        <v>82.53</v>
      </c>
      <c r="F120" t="s">
        <v>117</v>
      </c>
      <c r="G120" s="2">
        <v>2.7E-2</v>
      </c>
    </row>
    <row r="121" spans="1:7" x14ac:dyDescent="0.25">
      <c r="A121" s="1">
        <v>45158</v>
      </c>
      <c r="B121">
        <v>82.28</v>
      </c>
      <c r="C121">
        <v>81.36</v>
      </c>
      <c r="D121">
        <v>83.3</v>
      </c>
      <c r="E121">
        <v>81.22</v>
      </c>
      <c r="F121" t="s">
        <v>118</v>
      </c>
      <c r="G121" s="2">
        <v>1.32E-2</v>
      </c>
    </row>
    <row r="122" spans="1:7" x14ac:dyDescent="0.25">
      <c r="A122" s="1">
        <v>45151</v>
      </c>
      <c r="B122">
        <v>81.209999999999994</v>
      </c>
      <c r="C122">
        <v>82.78</v>
      </c>
      <c r="D122">
        <v>83.2</v>
      </c>
      <c r="E122">
        <v>80.84</v>
      </c>
      <c r="F122" t="s">
        <v>119</v>
      </c>
      <c r="G122" s="2">
        <v>-1.66E-2</v>
      </c>
    </row>
    <row r="123" spans="1:7" x14ac:dyDescent="0.25">
      <c r="A123" s="1">
        <v>45144</v>
      </c>
      <c r="B123">
        <v>82.59</v>
      </c>
      <c r="C123">
        <v>83.07</v>
      </c>
      <c r="D123">
        <v>83.46</v>
      </c>
      <c r="E123">
        <v>82.43</v>
      </c>
      <c r="F123" t="s">
        <v>120</v>
      </c>
      <c r="G123" s="2">
        <v>-7.1000000000000004E-3</v>
      </c>
    </row>
    <row r="124" spans="1:7" x14ac:dyDescent="0.25">
      <c r="A124" s="1">
        <v>45137</v>
      </c>
      <c r="B124">
        <v>83.18</v>
      </c>
      <c r="C124">
        <v>84.58</v>
      </c>
      <c r="D124">
        <v>85.02</v>
      </c>
      <c r="E124">
        <v>83.04</v>
      </c>
      <c r="F124" t="s">
        <v>121</v>
      </c>
      <c r="G124" s="2">
        <v>-1.7399999999999999E-2</v>
      </c>
    </row>
    <row r="125" spans="1:7" x14ac:dyDescent="0.25">
      <c r="A125" s="1">
        <v>45130</v>
      </c>
      <c r="B125">
        <v>84.65</v>
      </c>
      <c r="C125">
        <v>82.91</v>
      </c>
      <c r="D125">
        <v>85.14</v>
      </c>
      <c r="E125">
        <v>82.91</v>
      </c>
      <c r="F125" t="s">
        <v>122</v>
      </c>
      <c r="G125" s="2">
        <v>1.6799999999999999E-2</v>
      </c>
    </row>
    <row r="126" spans="1:7" x14ac:dyDescent="0.25">
      <c r="A126" s="1">
        <v>45123</v>
      </c>
      <c r="B126">
        <v>83.25</v>
      </c>
      <c r="C126">
        <v>81.680000000000007</v>
      </c>
      <c r="D126">
        <v>83.29</v>
      </c>
      <c r="E126">
        <v>81.599999999999994</v>
      </c>
      <c r="F126" t="s">
        <v>123</v>
      </c>
      <c r="G126" s="2">
        <v>1.5100000000000001E-2</v>
      </c>
    </row>
    <row r="127" spans="1:7" x14ac:dyDescent="0.25">
      <c r="A127" s="1">
        <v>45116</v>
      </c>
      <c r="B127">
        <v>82.02</v>
      </c>
      <c r="C127">
        <v>81.06</v>
      </c>
      <c r="D127">
        <v>82.22</v>
      </c>
      <c r="E127">
        <v>81</v>
      </c>
      <c r="F127" t="s">
        <v>124</v>
      </c>
      <c r="G127" s="2">
        <v>5.1000000000000004E-3</v>
      </c>
    </row>
    <row r="128" spans="1:7" x14ac:dyDescent="0.25">
      <c r="A128" s="1">
        <v>45109</v>
      </c>
      <c r="B128">
        <v>81.599999999999994</v>
      </c>
      <c r="C128">
        <v>83.09</v>
      </c>
      <c r="D128">
        <v>83.24</v>
      </c>
      <c r="E128">
        <v>81.5</v>
      </c>
      <c r="F128" t="s">
        <v>125</v>
      </c>
      <c r="G128" s="2">
        <v>-1.3899999999999999E-2</v>
      </c>
    </row>
    <row r="129" spans="1:7" x14ac:dyDescent="0.25">
      <c r="A129" s="1">
        <v>45102</v>
      </c>
      <c r="B129">
        <v>82.75</v>
      </c>
      <c r="C129">
        <v>81.099999999999994</v>
      </c>
      <c r="D129">
        <v>82.83</v>
      </c>
      <c r="E129">
        <v>80.61</v>
      </c>
      <c r="F129" t="s">
        <v>126</v>
      </c>
      <c r="G129" s="2">
        <v>1.9099999999999999E-2</v>
      </c>
    </row>
    <row r="130" spans="1:7" x14ac:dyDescent="0.25">
      <c r="A130" s="1">
        <v>45095</v>
      </c>
      <c r="B130">
        <v>81.2</v>
      </c>
      <c r="C130">
        <v>82.45</v>
      </c>
      <c r="D130">
        <v>82.58</v>
      </c>
      <c r="E130">
        <v>80.73</v>
      </c>
      <c r="F130" t="s">
        <v>127</v>
      </c>
      <c r="G130" s="2">
        <v>-1.8599999999999998E-2</v>
      </c>
    </row>
    <row r="131" spans="1:7" x14ac:dyDescent="0.25">
      <c r="A131" s="1">
        <v>45088</v>
      </c>
      <c r="B131">
        <v>82.75</v>
      </c>
      <c r="C131">
        <v>81.95</v>
      </c>
      <c r="D131">
        <v>83</v>
      </c>
      <c r="E131">
        <v>81.7</v>
      </c>
      <c r="F131" t="s">
        <v>128</v>
      </c>
      <c r="G131" s="2">
        <v>1.26E-2</v>
      </c>
    </row>
    <row r="132" spans="1:7" x14ac:dyDescent="0.25">
      <c r="A132" s="1">
        <v>45081</v>
      </c>
      <c r="B132">
        <v>81.72</v>
      </c>
      <c r="C132">
        <v>81.790000000000006</v>
      </c>
      <c r="D132">
        <v>82.1</v>
      </c>
      <c r="E132">
        <v>81.06</v>
      </c>
      <c r="F132" t="s">
        <v>129</v>
      </c>
      <c r="G132" s="2">
        <v>2.2000000000000001E-3</v>
      </c>
    </row>
    <row r="133" spans="1:7" x14ac:dyDescent="0.25">
      <c r="A133" s="1">
        <v>45074</v>
      </c>
      <c r="B133">
        <v>81.540000000000006</v>
      </c>
      <c r="C133">
        <v>80.59</v>
      </c>
      <c r="D133">
        <v>81.599999999999994</v>
      </c>
      <c r="E133">
        <v>79.59</v>
      </c>
      <c r="F133" t="s">
        <v>130</v>
      </c>
      <c r="G133" s="2">
        <v>1.5699999999999999E-2</v>
      </c>
    </row>
    <row r="134" spans="1:7" x14ac:dyDescent="0.25">
      <c r="A134" s="1">
        <v>45067</v>
      </c>
      <c r="B134">
        <v>80.28</v>
      </c>
      <c r="C134">
        <v>80.010000000000005</v>
      </c>
      <c r="D134">
        <v>80.41</v>
      </c>
      <c r="E134">
        <v>78.59</v>
      </c>
      <c r="F134" t="s">
        <v>131</v>
      </c>
      <c r="G134" s="2">
        <v>4.7999999999999996E-3</v>
      </c>
    </row>
    <row r="135" spans="1:7" x14ac:dyDescent="0.25">
      <c r="A135" s="1">
        <v>45060</v>
      </c>
      <c r="B135">
        <v>79.900000000000006</v>
      </c>
      <c r="C135">
        <v>78.86</v>
      </c>
      <c r="D135">
        <v>80.430000000000007</v>
      </c>
      <c r="E135">
        <v>78.42</v>
      </c>
      <c r="F135" t="s">
        <v>132</v>
      </c>
      <c r="G135" s="2">
        <v>1.77E-2</v>
      </c>
    </row>
    <row r="136" spans="1:7" x14ac:dyDescent="0.25">
      <c r="A136" s="1">
        <v>45053</v>
      </c>
      <c r="B136">
        <v>78.510000000000005</v>
      </c>
      <c r="C136">
        <v>77.62</v>
      </c>
      <c r="D136">
        <v>78.81</v>
      </c>
      <c r="E136">
        <v>77.62</v>
      </c>
      <c r="F136" t="s">
        <v>133</v>
      </c>
      <c r="G136" s="2">
        <v>1.15E-2</v>
      </c>
    </row>
    <row r="137" spans="1:7" x14ac:dyDescent="0.25">
      <c r="A137" s="1">
        <v>45046</v>
      </c>
      <c r="B137">
        <v>77.62</v>
      </c>
      <c r="C137">
        <v>78.23</v>
      </c>
      <c r="D137">
        <v>78.33</v>
      </c>
      <c r="E137">
        <v>76.3</v>
      </c>
      <c r="F137" t="s">
        <v>134</v>
      </c>
      <c r="G137" s="2">
        <v>-2E-3</v>
      </c>
    </row>
    <row r="138" spans="1:7" x14ac:dyDescent="0.25">
      <c r="A138" s="1">
        <v>45039</v>
      </c>
      <c r="B138">
        <v>77.77</v>
      </c>
      <c r="C138">
        <v>77.760000000000005</v>
      </c>
      <c r="D138">
        <v>77.95</v>
      </c>
      <c r="E138">
        <v>76.319999999999993</v>
      </c>
      <c r="F138" t="s">
        <v>112</v>
      </c>
      <c r="G138" s="2">
        <v>-1.8E-3</v>
      </c>
    </row>
    <row r="139" spans="1:7" x14ac:dyDescent="0.25">
      <c r="A139" s="1">
        <v>45032</v>
      </c>
      <c r="B139">
        <v>77.91</v>
      </c>
      <c r="C139">
        <v>78.13</v>
      </c>
      <c r="D139">
        <v>78.709999999999994</v>
      </c>
      <c r="E139">
        <v>77.790000000000006</v>
      </c>
      <c r="F139" t="s">
        <v>135</v>
      </c>
      <c r="G139" s="2">
        <v>1.1000000000000001E-3</v>
      </c>
    </row>
    <row r="140" spans="1:7" x14ac:dyDescent="0.25">
      <c r="A140" s="1">
        <v>45025</v>
      </c>
      <c r="B140">
        <v>77.819999999999993</v>
      </c>
      <c r="C140">
        <v>77.900000000000006</v>
      </c>
      <c r="D140">
        <v>78.08</v>
      </c>
      <c r="E140">
        <v>76.959999999999994</v>
      </c>
      <c r="F140" t="s">
        <v>136</v>
      </c>
      <c r="G140" s="2">
        <v>8.0999999999999996E-3</v>
      </c>
    </row>
    <row r="141" spans="1:7" x14ac:dyDescent="0.25">
      <c r="A141" s="1">
        <v>45018</v>
      </c>
      <c r="B141">
        <v>77.2</v>
      </c>
      <c r="C141">
        <v>78.09</v>
      </c>
      <c r="D141">
        <v>78.239999999999995</v>
      </c>
      <c r="E141">
        <v>77</v>
      </c>
      <c r="F141" t="s">
        <v>137</v>
      </c>
      <c r="G141" s="2">
        <v>-4.7000000000000002E-3</v>
      </c>
    </row>
    <row r="142" spans="1:7" x14ac:dyDescent="0.25">
      <c r="A142" s="1">
        <v>45011</v>
      </c>
      <c r="B142">
        <v>77.56</v>
      </c>
      <c r="C142">
        <v>76.23</v>
      </c>
      <c r="D142">
        <v>77.569999999999993</v>
      </c>
      <c r="E142">
        <v>75.41</v>
      </c>
      <c r="F142" t="s">
        <v>138</v>
      </c>
      <c r="G142" s="2">
        <v>0.03</v>
      </c>
    </row>
    <row r="143" spans="1:7" x14ac:dyDescent="0.25">
      <c r="A143" s="1">
        <v>45004</v>
      </c>
      <c r="B143">
        <v>75.31</v>
      </c>
      <c r="C143">
        <v>74.95</v>
      </c>
      <c r="D143">
        <v>76.41</v>
      </c>
      <c r="E143">
        <v>74.58</v>
      </c>
      <c r="F143" t="s">
        <v>139</v>
      </c>
      <c r="G143" s="2">
        <v>2.0000000000000001E-4</v>
      </c>
    </row>
    <row r="144" spans="1:7" x14ac:dyDescent="0.25">
      <c r="A144" s="1">
        <v>44997</v>
      </c>
      <c r="B144">
        <v>75.290000000000006</v>
      </c>
      <c r="C144">
        <v>75.53</v>
      </c>
      <c r="D144">
        <v>76.45</v>
      </c>
      <c r="E144">
        <v>73.86</v>
      </c>
      <c r="F144" t="s">
        <v>140</v>
      </c>
      <c r="G144" s="2">
        <v>-1.2699999999999999E-2</v>
      </c>
    </row>
    <row r="145" spans="1:7" x14ac:dyDescent="0.25">
      <c r="A145" s="1">
        <v>44990</v>
      </c>
      <c r="B145">
        <v>76.260000000000005</v>
      </c>
      <c r="C145">
        <v>78.540000000000006</v>
      </c>
      <c r="D145">
        <v>78.62</v>
      </c>
      <c r="E145">
        <v>75.34</v>
      </c>
      <c r="F145" t="s">
        <v>141</v>
      </c>
      <c r="G145" s="2">
        <v>-2.5399999999999999E-2</v>
      </c>
    </row>
    <row r="146" spans="1:7" x14ac:dyDescent="0.25">
      <c r="A146" s="1">
        <v>44983</v>
      </c>
      <c r="B146">
        <v>78.239999999999995</v>
      </c>
      <c r="C146">
        <v>77.819999999999993</v>
      </c>
      <c r="D146">
        <v>78.239999999999995</v>
      </c>
      <c r="E146">
        <v>76.319999999999993</v>
      </c>
      <c r="F146" t="s">
        <v>142</v>
      </c>
      <c r="G146" s="2">
        <v>1.3100000000000001E-2</v>
      </c>
    </row>
    <row r="147" spans="1:7" x14ac:dyDescent="0.25">
      <c r="A147" s="1">
        <v>44976</v>
      </c>
      <c r="B147">
        <v>77.23</v>
      </c>
      <c r="C147">
        <v>78.540000000000006</v>
      </c>
      <c r="D147">
        <v>78.66</v>
      </c>
      <c r="E147">
        <v>77.08</v>
      </c>
      <c r="F147" t="s">
        <v>143</v>
      </c>
      <c r="G147" s="2">
        <v>-1.3899999999999999E-2</v>
      </c>
    </row>
    <row r="148" spans="1:7" x14ac:dyDescent="0.25">
      <c r="A148" s="1">
        <v>44969</v>
      </c>
      <c r="B148">
        <v>78.319999999999993</v>
      </c>
      <c r="C148">
        <v>78.53</v>
      </c>
      <c r="D148">
        <v>79.73</v>
      </c>
      <c r="E148">
        <v>78.319999999999993</v>
      </c>
      <c r="F148" t="s">
        <v>144</v>
      </c>
      <c r="G148" s="2">
        <v>-2.3999999999999998E-3</v>
      </c>
    </row>
    <row r="149" spans="1:7" x14ac:dyDescent="0.25">
      <c r="A149" s="1">
        <v>44962</v>
      </c>
      <c r="B149">
        <v>78.510000000000005</v>
      </c>
      <c r="C149">
        <v>78.45</v>
      </c>
      <c r="D149">
        <v>79.39</v>
      </c>
      <c r="E149">
        <v>77.959999999999994</v>
      </c>
      <c r="F149" t="s">
        <v>145</v>
      </c>
      <c r="G149" s="2">
        <v>-8.2000000000000007E-3</v>
      </c>
    </row>
    <row r="150" spans="1:7" x14ac:dyDescent="0.25">
      <c r="A150" s="1">
        <v>44955</v>
      </c>
      <c r="B150">
        <v>79.16</v>
      </c>
      <c r="C150">
        <v>76.87</v>
      </c>
      <c r="D150">
        <v>79.16</v>
      </c>
      <c r="E150">
        <v>76.33</v>
      </c>
      <c r="F150" t="s">
        <v>146</v>
      </c>
      <c r="G150" s="2">
        <v>2.3599999999999999E-2</v>
      </c>
    </row>
    <row r="151" spans="1:7" x14ac:dyDescent="0.25">
      <c r="A151" s="1">
        <v>44948</v>
      </c>
      <c r="B151">
        <v>77.34</v>
      </c>
      <c r="C151">
        <v>75.540000000000006</v>
      </c>
      <c r="D151">
        <v>77.34</v>
      </c>
      <c r="E151">
        <v>75.38</v>
      </c>
      <c r="F151" t="s">
        <v>147</v>
      </c>
      <c r="G151" s="2">
        <v>2.6200000000000001E-2</v>
      </c>
    </row>
    <row r="152" spans="1:7" x14ac:dyDescent="0.25">
      <c r="A152" s="1">
        <v>44941</v>
      </c>
      <c r="B152">
        <v>75.36</v>
      </c>
      <c r="C152">
        <v>76.11</v>
      </c>
      <c r="D152">
        <v>76.540000000000006</v>
      </c>
      <c r="E152">
        <v>74.8</v>
      </c>
      <c r="F152" t="s">
        <v>148</v>
      </c>
      <c r="G152" s="2">
        <v>-6.0000000000000001E-3</v>
      </c>
    </row>
    <row r="153" spans="1:7" x14ac:dyDescent="0.25">
      <c r="A153" s="1">
        <v>44934</v>
      </c>
      <c r="B153">
        <v>75.81</v>
      </c>
      <c r="C153">
        <v>75.05</v>
      </c>
      <c r="D153">
        <v>76.02</v>
      </c>
      <c r="E153">
        <v>74.41</v>
      </c>
      <c r="F153" t="s">
        <v>149</v>
      </c>
      <c r="G153" s="2">
        <v>1.0200000000000001E-2</v>
      </c>
    </row>
    <row r="154" spans="1:7" x14ac:dyDescent="0.25">
      <c r="A154" s="1">
        <v>44927</v>
      </c>
      <c r="B154">
        <v>75.040000000000006</v>
      </c>
      <c r="C154">
        <v>75.040000000000006</v>
      </c>
      <c r="D154">
        <v>75.22</v>
      </c>
      <c r="E154">
        <v>74.099999999999994</v>
      </c>
      <c r="F154" t="s">
        <v>150</v>
      </c>
      <c r="G154" s="2">
        <v>2.3300000000000001E-2</v>
      </c>
    </row>
    <row r="155" spans="1:7" x14ac:dyDescent="0.25">
      <c r="A155" s="1">
        <v>44920</v>
      </c>
      <c r="B155">
        <v>73.34</v>
      </c>
      <c r="C155">
        <v>74.400000000000006</v>
      </c>
      <c r="D155">
        <v>74.400000000000006</v>
      </c>
      <c r="E155">
        <v>72.95</v>
      </c>
      <c r="F155" t="s">
        <v>151</v>
      </c>
      <c r="G155" s="2">
        <v>-5.4000000000000003E-3</v>
      </c>
    </row>
    <row r="156" spans="1:7" x14ac:dyDescent="0.25">
      <c r="A156" s="1">
        <v>44913</v>
      </c>
      <c r="B156">
        <v>73.73</v>
      </c>
      <c r="C156">
        <v>74.08</v>
      </c>
      <c r="D156">
        <v>74.75</v>
      </c>
      <c r="E156">
        <v>72.959999999999994</v>
      </c>
      <c r="F156" t="s">
        <v>152</v>
      </c>
      <c r="G156" s="2">
        <v>-2.7000000000000001E-3</v>
      </c>
    </row>
    <row r="157" spans="1:7" x14ac:dyDescent="0.25">
      <c r="A157" s="1">
        <v>44906</v>
      </c>
      <c r="B157">
        <v>73.94</v>
      </c>
      <c r="C157">
        <v>76.040000000000006</v>
      </c>
      <c r="D157">
        <v>78.38</v>
      </c>
      <c r="E157">
        <v>73.650000000000006</v>
      </c>
      <c r="F157" t="s">
        <v>153</v>
      </c>
      <c r="G157" s="2">
        <v>-3.4799999999999998E-2</v>
      </c>
    </row>
    <row r="158" spans="1:7" x14ac:dyDescent="0.25">
      <c r="A158" s="1">
        <v>44899</v>
      </c>
      <c r="B158">
        <v>76.599999999999994</v>
      </c>
      <c r="C158">
        <v>77.98</v>
      </c>
      <c r="D158">
        <v>78.3</v>
      </c>
      <c r="E158">
        <v>75.62</v>
      </c>
      <c r="F158" t="s">
        <v>154</v>
      </c>
      <c r="G158" s="2">
        <v>-2.01E-2</v>
      </c>
    </row>
    <row r="159" spans="1:7" x14ac:dyDescent="0.25">
      <c r="A159" s="1">
        <v>44892</v>
      </c>
      <c r="B159">
        <v>78.17</v>
      </c>
      <c r="C159">
        <v>77.98</v>
      </c>
      <c r="D159">
        <v>79.16</v>
      </c>
      <c r="E159">
        <v>77.150000000000006</v>
      </c>
      <c r="F159" t="s">
        <v>155</v>
      </c>
      <c r="G159" s="2">
        <v>-2E-3</v>
      </c>
    </row>
    <row r="160" spans="1:7" x14ac:dyDescent="0.25">
      <c r="A160" s="1">
        <v>44885</v>
      </c>
      <c r="B160">
        <v>78.33</v>
      </c>
      <c r="C160">
        <v>77.53</v>
      </c>
      <c r="D160">
        <v>78.58</v>
      </c>
      <c r="E160">
        <v>77.48</v>
      </c>
      <c r="F160" t="s">
        <v>156</v>
      </c>
      <c r="G160" s="2">
        <v>1.43E-2</v>
      </c>
    </row>
    <row r="161" spans="1:7" x14ac:dyDescent="0.25">
      <c r="A161" s="1">
        <v>44878</v>
      </c>
      <c r="B161">
        <v>77.23</v>
      </c>
      <c r="C161">
        <v>77.75</v>
      </c>
      <c r="D161">
        <v>78.08</v>
      </c>
      <c r="E161">
        <v>76.400000000000006</v>
      </c>
      <c r="F161" t="s">
        <v>157</v>
      </c>
      <c r="G161" s="2">
        <v>-1.6000000000000001E-3</v>
      </c>
    </row>
    <row r="162" spans="1:7" x14ac:dyDescent="0.25">
      <c r="A162" s="1">
        <v>44871</v>
      </c>
      <c r="B162">
        <v>77.349999999999994</v>
      </c>
      <c r="C162">
        <v>75.72</v>
      </c>
      <c r="D162">
        <v>78.2</v>
      </c>
      <c r="E162">
        <v>75.37</v>
      </c>
      <c r="F162" t="s">
        <v>158</v>
      </c>
      <c r="G162" s="2">
        <v>2.3599999999999999E-2</v>
      </c>
    </row>
    <row r="163" spans="1:7" x14ac:dyDescent="0.25">
      <c r="A163" s="1">
        <v>44864</v>
      </c>
      <c r="B163">
        <v>75.569999999999993</v>
      </c>
      <c r="C163">
        <v>77.41</v>
      </c>
      <c r="D163">
        <v>78.14</v>
      </c>
      <c r="E163">
        <v>75.400000000000006</v>
      </c>
      <c r="F163" t="s">
        <v>159</v>
      </c>
      <c r="G163" s="2">
        <v>-1.7000000000000001E-2</v>
      </c>
    </row>
    <row r="164" spans="1:7" x14ac:dyDescent="0.25">
      <c r="A164" s="1">
        <v>44857</v>
      </c>
      <c r="B164">
        <v>76.88</v>
      </c>
      <c r="C164">
        <v>75.61</v>
      </c>
      <c r="D164">
        <v>77.02</v>
      </c>
      <c r="E164">
        <v>75.11</v>
      </c>
      <c r="F164" t="s">
        <v>160</v>
      </c>
      <c r="G164" s="2">
        <v>2.8199999999999999E-2</v>
      </c>
    </row>
    <row r="165" spans="1:7" x14ac:dyDescent="0.25">
      <c r="A165" s="1">
        <v>44850</v>
      </c>
      <c r="B165">
        <v>74.77</v>
      </c>
      <c r="C165">
        <v>73.91</v>
      </c>
      <c r="D165">
        <v>75.77</v>
      </c>
      <c r="E165">
        <v>73.599999999999994</v>
      </c>
      <c r="F165" t="s">
        <v>161</v>
      </c>
      <c r="G165" s="2">
        <v>1.3599999999999999E-2</v>
      </c>
    </row>
    <row r="166" spans="1:7" x14ac:dyDescent="0.25">
      <c r="A166" s="1">
        <v>44843</v>
      </c>
      <c r="B166">
        <v>73.77</v>
      </c>
      <c r="C166">
        <v>74.239999999999995</v>
      </c>
      <c r="D166">
        <v>75.44</v>
      </c>
      <c r="E166">
        <v>72</v>
      </c>
      <c r="F166" t="s">
        <v>162</v>
      </c>
      <c r="G166" s="2">
        <v>-1.1599999999999999E-2</v>
      </c>
    </row>
    <row r="167" spans="1:7" x14ac:dyDescent="0.25">
      <c r="A167" s="1">
        <v>44836</v>
      </c>
      <c r="B167">
        <v>74.63</v>
      </c>
      <c r="C167">
        <v>72.95</v>
      </c>
      <c r="D167">
        <v>76.41</v>
      </c>
      <c r="E167">
        <v>72.650000000000006</v>
      </c>
      <c r="F167" t="s">
        <v>163</v>
      </c>
      <c r="G167" s="2">
        <v>6.8999999999999999E-3</v>
      </c>
    </row>
    <row r="168" spans="1:7" x14ac:dyDescent="0.25">
      <c r="A168" s="1">
        <v>44829</v>
      </c>
      <c r="B168">
        <v>74.12</v>
      </c>
      <c r="C168">
        <v>75.12</v>
      </c>
      <c r="D168">
        <v>76</v>
      </c>
      <c r="E168">
        <v>73.59</v>
      </c>
      <c r="F168" t="s">
        <v>164</v>
      </c>
      <c r="G168" s="2">
        <v>-1.34E-2</v>
      </c>
    </row>
    <row r="169" spans="1:7" x14ac:dyDescent="0.25">
      <c r="A169" s="1">
        <v>44822</v>
      </c>
      <c r="B169">
        <v>75.13</v>
      </c>
      <c r="C169">
        <v>76.83</v>
      </c>
      <c r="D169">
        <v>77.75</v>
      </c>
      <c r="E169">
        <v>75.06</v>
      </c>
      <c r="F169" t="s">
        <v>165</v>
      </c>
      <c r="G169" s="2">
        <v>-1.95E-2</v>
      </c>
    </row>
    <row r="170" spans="1:7" x14ac:dyDescent="0.25">
      <c r="A170" s="1">
        <v>44815</v>
      </c>
      <c r="B170">
        <v>76.63</v>
      </c>
      <c r="C170">
        <v>79.62</v>
      </c>
      <c r="D170">
        <v>80.89</v>
      </c>
      <c r="E170">
        <v>76.59</v>
      </c>
      <c r="F170" t="s">
        <v>166</v>
      </c>
      <c r="G170" s="2">
        <v>-4.2700000000000002E-2</v>
      </c>
    </row>
    <row r="171" spans="1:7" x14ac:dyDescent="0.25">
      <c r="A171" s="1">
        <v>44808</v>
      </c>
      <c r="B171">
        <v>80.05</v>
      </c>
      <c r="C171">
        <v>78.78</v>
      </c>
      <c r="D171">
        <v>80.069999999999993</v>
      </c>
      <c r="E171">
        <v>77.91</v>
      </c>
      <c r="F171" t="s">
        <v>167</v>
      </c>
      <c r="G171" s="2">
        <v>1.06E-2</v>
      </c>
    </row>
    <row r="172" spans="1:7" x14ac:dyDescent="0.25">
      <c r="A172" s="1">
        <v>44801</v>
      </c>
      <c r="B172">
        <v>79.209999999999994</v>
      </c>
      <c r="C172">
        <v>80.510000000000005</v>
      </c>
      <c r="D172">
        <v>80.680000000000007</v>
      </c>
      <c r="E172">
        <v>77.58</v>
      </c>
      <c r="F172" t="s">
        <v>137</v>
      </c>
      <c r="G172" s="2">
        <v>-2.81E-2</v>
      </c>
    </row>
    <row r="173" spans="1:7" x14ac:dyDescent="0.25">
      <c r="A173" s="1">
        <v>44794</v>
      </c>
      <c r="B173">
        <v>81.5</v>
      </c>
      <c r="C173">
        <v>82.99</v>
      </c>
      <c r="D173">
        <v>83.32</v>
      </c>
      <c r="E173">
        <v>81.319999999999993</v>
      </c>
      <c r="F173" t="s">
        <v>69</v>
      </c>
      <c r="G173" s="2">
        <v>-1.9599999999999999E-2</v>
      </c>
    </row>
    <row r="174" spans="1:7" x14ac:dyDescent="0.25">
      <c r="A174" s="1">
        <v>44787</v>
      </c>
      <c r="B174">
        <v>83.13</v>
      </c>
      <c r="C174">
        <v>82.87</v>
      </c>
      <c r="D174">
        <v>83.87</v>
      </c>
      <c r="E174">
        <v>82.62</v>
      </c>
      <c r="F174" t="s">
        <v>168</v>
      </c>
      <c r="G174" s="2">
        <v>9.7999999999999997E-3</v>
      </c>
    </row>
    <row r="175" spans="1:7" x14ac:dyDescent="0.25">
      <c r="A175" s="1">
        <v>44780</v>
      </c>
      <c r="B175">
        <v>82.32</v>
      </c>
      <c r="C175">
        <v>81.31</v>
      </c>
      <c r="D175">
        <v>82.32</v>
      </c>
      <c r="E175">
        <v>80.19</v>
      </c>
      <c r="F175" t="s">
        <v>169</v>
      </c>
      <c r="G175" s="2">
        <v>2.1000000000000001E-2</v>
      </c>
    </row>
    <row r="176" spans="1:7" x14ac:dyDescent="0.25">
      <c r="A176" s="1">
        <v>44773</v>
      </c>
      <c r="B176">
        <v>80.63</v>
      </c>
      <c r="C176">
        <v>80.319999999999993</v>
      </c>
      <c r="D176">
        <v>81.38</v>
      </c>
      <c r="E176">
        <v>79.599999999999994</v>
      </c>
      <c r="F176" t="s">
        <v>170</v>
      </c>
      <c r="G176" s="2">
        <v>6.7000000000000002E-3</v>
      </c>
    </row>
    <row r="177" spans="1:7" x14ac:dyDescent="0.25">
      <c r="A177" s="1">
        <v>44766</v>
      </c>
      <c r="B177">
        <v>80.09</v>
      </c>
      <c r="C177">
        <v>77.59</v>
      </c>
      <c r="D177">
        <v>80.58</v>
      </c>
      <c r="E177">
        <v>77.22</v>
      </c>
      <c r="F177" t="s">
        <v>171</v>
      </c>
      <c r="G177" s="2">
        <v>3.15E-2</v>
      </c>
    </row>
    <row r="178" spans="1:7" x14ac:dyDescent="0.25">
      <c r="A178" s="1">
        <v>44759</v>
      </c>
      <c r="B178">
        <v>77.650000000000006</v>
      </c>
      <c r="C178">
        <v>76.5</v>
      </c>
      <c r="D178">
        <v>78.41</v>
      </c>
      <c r="E178">
        <v>75</v>
      </c>
      <c r="F178" t="s">
        <v>172</v>
      </c>
      <c r="G178" s="2">
        <v>2.0500000000000001E-2</v>
      </c>
    </row>
    <row r="179" spans="1:7" x14ac:dyDescent="0.25">
      <c r="A179" s="1">
        <v>44752</v>
      </c>
      <c r="B179">
        <v>76.09</v>
      </c>
      <c r="C179">
        <v>76.14</v>
      </c>
      <c r="D179">
        <v>76.84</v>
      </c>
      <c r="E179">
        <v>74.510000000000005</v>
      </c>
      <c r="F179" t="s">
        <v>173</v>
      </c>
      <c r="G179" s="2">
        <v>-8.3999999999999995E-3</v>
      </c>
    </row>
    <row r="180" spans="1:7" x14ac:dyDescent="0.25">
      <c r="A180" s="1">
        <v>44745</v>
      </c>
      <c r="B180">
        <v>76.73</v>
      </c>
      <c r="C180">
        <v>73.44</v>
      </c>
      <c r="D180">
        <v>76.87</v>
      </c>
      <c r="E180">
        <v>73.099999999999994</v>
      </c>
      <c r="F180" t="s">
        <v>174</v>
      </c>
      <c r="G180" s="2">
        <v>4.9299999999999997E-2</v>
      </c>
    </row>
    <row r="181" spans="1:7" x14ac:dyDescent="0.25">
      <c r="A181" s="1">
        <v>44738</v>
      </c>
      <c r="B181">
        <v>73.13</v>
      </c>
      <c r="C181">
        <v>74.38</v>
      </c>
      <c r="D181">
        <v>75.180000000000007</v>
      </c>
      <c r="E181">
        <v>72.06</v>
      </c>
      <c r="F181" t="s">
        <v>175</v>
      </c>
      <c r="G181" s="2">
        <v>-1.03E-2</v>
      </c>
    </row>
    <row r="182" spans="1:7" x14ac:dyDescent="0.25">
      <c r="A182" s="1">
        <v>44731</v>
      </c>
      <c r="B182">
        <v>73.89</v>
      </c>
      <c r="C182">
        <v>70.94</v>
      </c>
      <c r="D182">
        <v>73.930000000000007</v>
      </c>
      <c r="E182">
        <v>70.900000000000006</v>
      </c>
      <c r="F182" t="s">
        <v>176</v>
      </c>
      <c r="G182" s="2">
        <v>4.1700000000000001E-2</v>
      </c>
    </row>
    <row r="183" spans="1:7" x14ac:dyDescent="0.25">
      <c r="A183" s="1">
        <v>44724</v>
      </c>
      <c r="B183">
        <v>70.930000000000007</v>
      </c>
      <c r="C183">
        <v>73.91</v>
      </c>
      <c r="D183">
        <v>74.010000000000005</v>
      </c>
      <c r="E183">
        <v>70.5</v>
      </c>
      <c r="F183" t="s">
        <v>177</v>
      </c>
      <c r="G183" s="2">
        <v>-5.3100000000000001E-2</v>
      </c>
    </row>
    <row r="184" spans="1:7" x14ac:dyDescent="0.25">
      <c r="A184" s="1">
        <v>44717</v>
      </c>
      <c r="B184">
        <v>74.91</v>
      </c>
      <c r="C184">
        <v>77.900000000000006</v>
      </c>
      <c r="D184">
        <v>78.53</v>
      </c>
      <c r="E184">
        <v>74.91</v>
      </c>
      <c r="F184" t="s">
        <v>178</v>
      </c>
      <c r="G184" s="2">
        <v>-3.2399999999999998E-2</v>
      </c>
    </row>
    <row r="185" spans="1:7" x14ac:dyDescent="0.25">
      <c r="A185" s="1">
        <v>44710</v>
      </c>
      <c r="B185">
        <v>77.42</v>
      </c>
      <c r="C185">
        <v>78.66</v>
      </c>
      <c r="D185">
        <v>78.78</v>
      </c>
      <c r="E185">
        <v>77.09</v>
      </c>
      <c r="F185" t="s">
        <v>179</v>
      </c>
      <c r="G185" s="2">
        <v>-5.3E-3</v>
      </c>
    </row>
    <row r="186" spans="1:7" x14ac:dyDescent="0.25">
      <c r="A186" s="1">
        <v>44703</v>
      </c>
      <c r="B186">
        <v>77.84</v>
      </c>
      <c r="C186">
        <v>75.69</v>
      </c>
      <c r="D186">
        <v>77.84</v>
      </c>
      <c r="E186">
        <v>73.78</v>
      </c>
      <c r="F186" t="s">
        <v>180</v>
      </c>
      <c r="G186" s="2">
        <v>4.24E-2</v>
      </c>
    </row>
    <row r="187" spans="1:7" x14ac:dyDescent="0.25">
      <c r="A187" s="1">
        <v>44696</v>
      </c>
      <c r="B187">
        <v>74.680000000000007</v>
      </c>
      <c r="C187">
        <v>77.05</v>
      </c>
      <c r="D187">
        <v>78.19</v>
      </c>
      <c r="E187">
        <v>74.45</v>
      </c>
      <c r="F187" t="s">
        <v>181</v>
      </c>
      <c r="G187" s="2">
        <v>-3.5200000000000002E-2</v>
      </c>
    </row>
    <row r="188" spans="1:7" x14ac:dyDescent="0.25">
      <c r="A188" s="1">
        <v>44689</v>
      </c>
      <c r="B188">
        <v>77.400000000000006</v>
      </c>
      <c r="C188">
        <v>77.55</v>
      </c>
      <c r="D188">
        <v>77.69</v>
      </c>
      <c r="E188">
        <v>74.599999999999994</v>
      </c>
      <c r="F188" t="s">
        <v>182</v>
      </c>
      <c r="G188" s="2">
        <v>-4.3E-3</v>
      </c>
    </row>
    <row r="189" spans="1:7" x14ac:dyDescent="0.25">
      <c r="A189" s="1">
        <v>44682</v>
      </c>
      <c r="B189">
        <v>77.73</v>
      </c>
      <c r="C189">
        <v>79.069999999999993</v>
      </c>
      <c r="D189">
        <v>80.86</v>
      </c>
      <c r="E189">
        <v>76.86</v>
      </c>
      <c r="F189" t="s">
        <v>183</v>
      </c>
      <c r="G189" s="2">
        <v>-3.2599999999999997E-2</v>
      </c>
    </row>
    <row r="190" spans="1:7" x14ac:dyDescent="0.25">
      <c r="A190" s="1">
        <v>44675</v>
      </c>
      <c r="B190">
        <v>80.349999999999994</v>
      </c>
      <c r="C190">
        <v>79.19</v>
      </c>
      <c r="D190">
        <v>80.94</v>
      </c>
      <c r="E190">
        <v>78.56</v>
      </c>
      <c r="F190" t="s">
        <v>184</v>
      </c>
      <c r="G190" s="2">
        <v>2.0000000000000001E-4</v>
      </c>
    </row>
    <row r="191" spans="1:7" x14ac:dyDescent="0.25">
      <c r="A191" s="1">
        <v>44668</v>
      </c>
      <c r="B191">
        <v>80.34</v>
      </c>
      <c r="C191">
        <v>81.650000000000006</v>
      </c>
      <c r="D191">
        <v>82.76</v>
      </c>
      <c r="E191">
        <v>80.34</v>
      </c>
      <c r="F191" t="s">
        <v>185</v>
      </c>
      <c r="G191" s="2">
        <v>-2.1399999999999999E-2</v>
      </c>
    </row>
    <row r="192" spans="1:7" x14ac:dyDescent="0.25">
      <c r="A192" s="1">
        <v>44661</v>
      </c>
      <c r="B192">
        <v>82.09</v>
      </c>
      <c r="C192">
        <v>82.03</v>
      </c>
      <c r="D192">
        <v>82.49</v>
      </c>
      <c r="E192">
        <v>80.73</v>
      </c>
      <c r="F192" t="s">
        <v>186</v>
      </c>
      <c r="G192" s="2">
        <v>-7.4000000000000003E-3</v>
      </c>
    </row>
    <row r="193" spans="1:7" x14ac:dyDescent="0.25">
      <c r="A193" s="1">
        <v>44654</v>
      </c>
      <c r="B193">
        <v>82.71</v>
      </c>
      <c r="C193">
        <v>82.6</v>
      </c>
      <c r="D193">
        <v>83.62</v>
      </c>
      <c r="E193">
        <v>81.63</v>
      </c>
      <c r="F193" t="s">
        <v>187</v>
      </c>
      <c r="G193" s="2">
        <v>6.7999999999999996E-3</v>
      </c>
    </row>
    <row r="194" spans="1:7" x14ac:dyDescent="0.25">
      <c r="A194" s="1">
        <v>44647</v>
      </c>
      <c r="B194">
        <v>82.14</v>
      </c>
      <c r="C194">
        <v>82.58</v>
      </c>
      <c r="D194">
        <v>83.33</v>
      </c>
      <c r="E194">
        <v>82.14</v>
      </c>
      <c r="F194" t="s">
        <v>188</v>
      </c>
      <c r="G194" s="2">
        <v>-2.9999999999999997E-4</v>
      </c>
    </row>
    <row r="195" spans="1:7" x14ac:dyDescent="0.25">
      <c r="A195" s="1">
        <v>44640</v>
      </c>
      <c r="B195">
        <v>82.17</v>
      </c>
      <c r="C195">
        <v>80.89</v>
      </c>
      <c r="D195">
        <v>82.5</v>
      </c>
      <c r="E195">
        <v>80.81</v>
      </c>
      <c r="F195" t="s">
        <v>189</v>
      </c>
      <c r="G195" s="2">
        <v>0.02</v>
      </c>
    </row>
    <row r="196" spans="1:7" x14ac:dyDescent="0.25">
      <c r="A196" s="1">
        <v>44633</v>
      </c>
      <c r="B196">
        <v>80.56</v>
      </c>
      <c r="C196">
        <v>77.45</v>
      </c>
      <c r="D196">
        <v>80.59</v>
      </c>
      <c r="E196">
        <v>75.5</v>
      </c>
      <c r="F196" t="s">
        <v>190</v>
      </c>
      <c r="G196" s="2">
        <v>3.7699999999999997E-2</v>
      </c>
    </row>
    <row r="197" spans="1:7" x14ac:dyDescent="0.25">
      <c r="A197" s="1">
        <v>44626</v>
      </c>
      <c r="B197">
        <v>77.64</v>
      </c>
      <c r="C197">
        <v>77.67</v>
      </c>
      <c r="D197">
        <v>78.64</v>
      </c>
      <c r="E197">
        <v>76.05</v>
      </c>
      <c r="F197" t="s">
        <v>191</v>
      </c>
      <c r="G197" s="2">
        <v>-7.1999999999999998E-3</v>
      </c>
    </row>
    <row r="198" spans="1:7" x14ac:dyDescent="0.25">
      <c r="A198" s="1">
        <v>44619</v>
      </c>
      <c r="B198">
        <v>78.2</v>
      </c>
      <c r="C198">
        <v>78.06</v>
      </c>
      <c r="D198">
        <v>79.78</v>
      </c>
      <c r="E198">
        <v>77.61</v>
      </c>
      <c r="F198" t="s">
        <v>192</v>
      </c>
      <c r="G198" s="2">
        <v>-2E-3</v>
      </c>
    </row>
    <row r="199" spans="1:7" x14ac:dyDescent="0.25">
      <c r="A199" s="1">
        <v>44612</v>
      </c>
      <c r="B199">
        <v>78.36</v>
      </c>
      <c r="C199">
        <v>78.28</v>
      </c>
      <c r="D199">
        <v>78.36</v>
      </c>
      <c r="E199">
        <v>74.599999999999994</v>
      </c>
      <c r="F199" t="s">
        <v>193</v>
      </c>
      <c r="G199" s="2">
        <v>2.8999999999999998E-3</v>
      </c>
    </row>
    <row r="200" spans="1:7" x14ac:dyDescent="0.25">
      <c r="A200" s="1">
        <v>44605</v>
      </c>
      <c r="B200">
        <v>78.13</v>
      </c>
      <c r="C200">
        <v>78.900000000000006</v>
      </c>
      <c r="D200">
        <v>79.989999999999995</v>
      </c>
      <c r="E200">
        <v>78</v>
      </c>
      <c r="F200" t="s">
        <v>194</v>
      </c>
      <c r="G200" s="2">
        <v>-2.07E-2</v>
      </c>
    </row>
    <row r="201" spans="1:7" x14ac:dyDescent="0.25">
      <c r="A201" s="1">
        <v>44598</v>
      </c>
      <c r="B201">
        <v>79.78</v>
      </c>
      <c r="C201">
        <v>79.5</v>
      </c>
      <c r="D201">
        <v>81.14</v>
      </c>
      <c r="E201">
        <v>79.010000000000005</v>
      </c>
      <c r="F201" t="s">
        <v>195</v>
      </c>
      <c r="G201" s="2">
        <v>1.0800000000000001E-2</v>
      </c>
    </row>
    <row r="202" spans="1:7" x14ac:dyDescent="0.25">
      <c r="A202" s="1">
        <v>44591</v>
      </c>
      <c r="B202">
        <v>78.930000000000007</v>
      </c>
      <c r="C202">
        <v>79.88</v>
      </c>
      <c r="D202">
        <v>81.8</v>
      </c>
      <c r="E202">
        <v>78.59</v>
      </c>
      <c r="F202" t="s">
        <v>196</v>
      </c>
      <c r="G202" s="2">
        <v>1.8E-3</v>
      </c>
    </row>
    <row r="203" spans="1:7" x14ac:dyDescent="0.25">
      <c r="A203" s="1">
        <v>44584</v>
      </c>
      <c r="B203">
        <v>78.790000000000006</v>
      </c>
      <c r="C203">
        <v>79.33</v>
      </c>
      <c r="D203">
        <v>79.98</v>
      </c>
      <c r="E203">
        <v>76.77</v>
      </c>
      <c r="F203" t="s">
        <v>197</v>
      </c>
      <c r="G203" s="2">
        <v>-1.6199999999999999E-2</v>
      </c>
    </row>
    <row r="204" spans="1:7" x14ac:dyDescent="0.25">
      <c r="A204" s="1">
        <v>44577</v>
      </c>
      <c r="B204">
        <v>80.09</v>
      </c>
      <c r="C204">
        <v>82.26</v>
      </c>
      <c r="D204">
        <v>82.66</v>
      </c>
      <c r="E204">
        <v>79.11</v>
      </c>
      <c r="F204" t="s">
        <v>198</v>
      </c>
      <c r="G204" s="2">
        <v>-2.24E-2</v>
      </c>
    </row>
    <row r="205" spans="1:7" x14ac:dyDescent="0.25">
      <c r="A205" s="1">
        <v>44570</v>
      </c>
      <c r="B205">
        <v>81.93</v>
      </c>
      <c r="C205">
        <v>83.27</v>
      </c>
      <c r="D205">
        <v>83.7</v>
      </c>
      <c r="E205">
        <v>81.540000000000006</v>
      </c>
      <c r="F205" t="s">
        <v>199</v>
      </c>
      <c r="G205" s="2">
        <v>-1.2999999999999999E-2</v>
      </c>
    </row>
    <row r="206" spans="1:7" x14ac:dyDescent="0.25">
      <c r="A206" s="1">
        <v>44563</v>
      </c>
      <c r="B206">
        <v>83.01</v>
      </c>
      <c r="C206">
        <v>84.77</v>
      </c>
      <c r="D206">
        <v>85.66</v>
      </c>
      <c r="E206">
        <v>82.7</v>
      </c>
      <c r="F206" t="s">
        <v>200</v>
      </c>
      <c r="G206" s="2">
        <v>-2.2100000000000002E-2</v>
      </c>
    </row>
    <row r="207" spans="1:7" x14ac:dyDescent="0.25">
      <c r="A207" s="1">
        <v>44556</v>
      </c>
      <c r="B207">
        <v>84.88</v>
      </c>
      <c r="C207">
        <v>83.74</v>
      </c>
      <c r="D207">
        <v>85.31</v>
      </c>
      <c r="E207">
        <v>83.69</v>
      </c>
      <c r="F207" t="s">
        <v>201</v>
      </c>
      <c r="G207" s="2">
        <v>1.0500000000000001E-2</v>
      </c>
    </row>
    <row r="208" spans="1:7" x14ac:dyDescent="0.25">
      <c r="A208" s="1">
        <v>44549</v>
      </c>
      <c r="B208">
        <v>84</v>
      </c>
      <c r="C208">
        <v>81.27</v>
      </c>
      <c r="D208">
        <v>84.01</v>
      </c>
      <c r="E208">
        <v>80.88</v>
      </c>
      <c r="F208" t="s">
        <v>202</v>
      </c>
      <c r="G208" s="2">
        <v>1.5599999999999999E-2</v>
      </c>
    </row>
    <row r="209" spans="1:7" x14ac:dyDescent="0.25">
      <c r="A209" s="1">
        <v>44542</v>
      </c>
      <c r="B209">
        <v>82.71</v>
      </c>
      <c r="C209">
        <v>83.72</v>
      </c>
      <c r="D209">
        <v>84.28</v>
      </c>
      <c r="E209">
        <v>81.87</v>
      </c>
      <c r="F209" t="s">
        <v>203</v>
      </c>
      <c r="G209" s="2">
        <v>-4.5999999999999999E-3</v>
      </c>
    </row>
    <row r="210" spans="1:7" x14ac:dyDescent="0.25">
      <c r="A210" s="1">
        <v>44535</v>
      </c>
      <c r="B210">
        <v>83.09</v>
      </c>
      <c r="C210">
        <v>81.42</v>
      </c>
      <c r="D210">
        <v>84.08</v>
      </c>
      <c r="E210">
        <v>80.81</v>
      </c>
      <c r="F210" t="s">
        <v>204</v>
      </c>
      <c r="G210" s="2">
        <v>2.87E-2</v>
      </c>
    </row>
    <row r="211" spans="1:7" x14ac:dyDescent="0.25">
      <c r="A211" s="1">
        <v>44528</v>
      </c>
      <c r="B211">
        <v>80.77</v>
      </c>
      <c r="C211">
        <v>82.77</v>
      </c>
      <c r="D211">
        <v>82.97</v>
      </c>
      <c r="E211">
        <v>80.260000000000005</v>
      </c>
      <c r="F211" t="s">
        <v>205</v>
      </c>
      <c r="G211" s="2">
        <v>-1.18E-2</v>
      </c>
    </row>
    <row r="212" spans="1:7" x14ac:dyDescent="0.25">
      <c r="A212" s="1">
        <v>44521</v>
      </c>
      <c r="B212">
        <v>81.739999999999995</v>
      </c>
      <c r="C212">
        <v>84.74</v>
      </c>
      <c r="D212">
        <v>85.09</v>
      </c>
      <c r="E212">
        <v>81.739999999999995</v>
      </c>
      <c r="F212" t="s">
        <v>206</v>
      </c>
      <c r="G212" s="2">
        <v>-3.0700000000000002E-2</v>
      </c>
    </row>
    <row r="213" spans="1:7" x14ac:dyDescent="0.25">
      <c r="A213" s="1">
        <v>44514</v>
      </c>
      <c r="B213">
        <v>84.33</v>
      </c>
      <c r="C213">
        <v>83.38</v>
      </c>
      <c r="D213">
        <v>84.64</v>
      </c>
      <c r="E213">
        <v>83.37</v>
      </c>
      <c r="F213" t="s">
        <v>207</v>
      </c>
      <c r="G213" s="2">
        <v>1.29E-2</v>
      </c>
    </row>
    <row r="214" spans="1:7" x14ac:dyDescent="0.25">
      <c r="A214" s="1">
        <v>44507</v>
      </c>
      <c r="B214">
        <v>83.25</v>
      </c>
      <c r="C214">
        <v>82.69</v>
      </c>
      <c r="D214">
        <v>83.26</v>
      </c>
      <c r="E214">
        <v>82.24</v>
      </c>
      <c r="F214" t="s">
        <v>208</v>
      </c>
      <c r="G214" s="2">
        <v>5.1000000000000004E-3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3621-4EF2-492A-A229-393FB971B194}">
  <dimension ref="A1:G214"/>
  <sheetViews>
    <sheetView workbookViewId="0">
      <selection activeCell="G1" sqref="G1"/>
    </sheetView>
  </sheetViews>
  <sheetFormatPr baseColWidth="10" defaultRowHeight="15" x14ac:dyDescent="0.25"/>
  <sheetData>
    <row r="1" spans="1:7" x14ac:dyDescent="0.25">
      <c r="A1" t="s">
        <v>0</v>
      </c>
      <c r="B1" t="s">
        <v>216</v>
      </c>
      <c r="C1" t="s">
        <v>217</v>
      </c>
      <c r="D1" t="s">
        <v>218</v>
      </c>
      <c r="E1" t="s">
        <v>219</v>
      </c>
      <c r="F1" t="s">
        <v>1</v>
      </c>
      <c r="G1" t="s">
        <v>220</v>
      </c>
    </row>
    <row r="2" spans="1:7" x14ac:dyDescent="0.25">
      <c r="A2" s="1">
        <v>45991</v>
      </c>
      <c r="B2">
        <v>61.87</v>
      </c>
      <c r="C2">
        <v>61.7</v>
      </c>
      <c r="D2">
        <v>62.19</v>
      </c>
      <c r="E2">
        <v>61.45</v>
      </c>
      <c r="F2" t="s">
        <v>1310</v>
      </c>
      <c r="G2" s="2">
        <v>-2.3999999999999998E-3</v>
      </c>
    </row>
    <row r="3" spans="1:7" x14ac:dyDescent="0.25">
      <c r="A3" s="1">
        <v>45984</v>
      </c>
      <c r="B3">
        <v>62.02</v>
      </c>
      <c r="C3">
        <v>61.22</v>
      </c>
      <c r="D3">
        <v>62.07</v>
      </c>
      <c r="E3">
        <v>60.65</v>
      </c>
      <c r="F3" t="s">
        <v>1311</v>
      </c>
      <c r="G3" s="2">
        <v>1.7899999999999999E-2</v>
      </c>
    </row>
    <row r="4" spans="1:7" x14ac:dyDescent="0.25">
      <c r="A4" s="1">
        <v>45977</v>
      </c>
      <c r="B4">
        <v>60.93</v>
      </c>
      <c r="C4">
        <v>62.32</v>
      </c>
      <c r="D4">
        <v>62.32</v>
      </c>
      <c r="E4">
        <v>60.34</v>
      </c>
      <c r="F4" t="s">
        <v>1312</v>
      </c>
      <c r="G4" s="2">
        <v>-2.1399999999999999E-2</v>
      </c>
    </row>
    <row r="5" spans="1:7" x14ac:dyDescent="0.25">
      <c r="A5" s="1">
        <v>45970</v>
      </c>
      <c r="B5">
        <v>62.26</v>
      </c>
      <c r="C5">
        <v>61.19</v>
      </c>
      <c r="D5">
        <v>63.35</v>
      </c>
      <c r="E5">
        <v>61.19</v>
      </c>
      <c r="F5" t="s">
        <v>1313</v>
      </c>
      <c r="G5" s="2">
        <v>2.7699999999999999E-2</v>
      </c>
    </row>
    <row r="6" spans="1:7" x14ac:dyDescent="0.25">
      <c r="A6" s="1">
        <v>45963</v>
      </c>
      <c r="B6">
        <v>60.58</v>
      </c>
      <c r="C6">
        <v>61.8</v>
      </c>
      <c r="D6">
        <v>62.08</v>
      </c>
      <c r="E6">
        <v>60.37</v>
      </c>
      <c r="F6" t="s">
        <v>1314</v>
      </c>
      <c r="G6" s="2">
        <v>-2.12E-2</v>
      </c>
    </row>
    <row r="7" spans="1:7" x14ac:dyDescent="0.25">
      <c r="A7" s="1">
        <v>45956</v>
      </c>
      <c r="B7">
        <v>61.89</v>
      </c>
      <c r="C7">
        <v>62.69</v>
      </c>
      <c r="D7">
        <v>62.77</v>
      </c>
      <c r="E7">
        <v>61.77</v>
      </c>
      <c r="F7" t="s">
        <v>1315</v>
      </c>
      <c r="G7" s="2">
        <v>-1.17E-2</v>
      </c>
    </row>
    <row r="8" spans="1:7" x14ac:dyDescent="0.25">
      <c r="A8" s="1">
        <v>45949</v>
      </c>
      <c r="B8">
        <v>62.62</v>
      </c>
      <c r="C8">
        <v>62.6</v>
      </c>
      <c r="D8">
        <v>62.91</v>
      </c>
      <c r="E8">
        <v>62.18</v>
      </c>
      <c r="F8" t="s">
        <v>1316</v>
      </c>
      <c r="G8" s="2">
        <v>6.3E-3</v>
      </c>
    </row>
    <row r="9" spans="1:7" x14ac:dyDescent="0.25">
      <c r="A9" s="1">
        <v>45942</v>
      </c>
      <c r="B9">
        <v>62.23</v>
      </c>
      <c r="C9">
        <v>60.62</v>
      </c>
      <c r="D9">
        <v>62.6</v>
      </c>
      <c r="E9">
        <v>59.8</v>
      </c>
      <c r="F9" t="s">
        <v>1317</v>
      </c>
      <c r="G9" s="2">
        <v>3.1699999999999999E-2</v>
      </c>
    </row>
    <row r="10" spans="1:7" x14ac:dyDescent="0.25">
      <c r="A10" s="1">
        <v>45935</v>
      </c>
      <c r="B10">
        <v>60.32</v>
      </c>
      <c r="C10">
        <v>61.17</v>
      </c>
      <c r="D10">
        <v>61.7</v>
      </c>
      <c r="E10">
        <v>60.32</v>
      </c>
      <c r="F10" t="s">
        <v>1318</v>
      </c>
      <c r="G10" s="2">
        <v>-2.06E-2</v>
      </c>
    </row>
    <row r="11" spans="1:7" x14ac:dyDescent="0.25">
      <c r="A11" s="1">
        <v>45928</v>
      </c>
      <c r="B11">
        <v>61.59</v>
      </c>
      <c r="C11">
        <v>60.11</v>
      </c>
      <c r="D11">
        <v>61.66</v>
      </c>
      <c r="E11">
        <v>59.8</v>
      </c>
      <c r="F11" t="s">
        <v>1319</v>
      </c>
      <c r="G11" s="2">
        <v>2.5499999999999998E-2</v>
      </c>
    </row>
    <row r="12" spans="1:7" x14ac:dyDescent="0.25">
      <c r="A12" s="1">
        <v>45921</v>
      </c>
      <c r="B12">
        <v>60.06</v>
      </c>
      <c r="C12">
        <v>59.74</v>
      </c>
      <c r="D12">
        <v>60.23</v>
      </c>
      <c r="E12">
        <v>59.22</v>
      </c>
      <c r="F12" t="s">
        <v>1320</v>
      </c>
      <c r="G12" s="2">
        <v>3.5000000000000001E-3</v>
      </c>
    </row>
    <row r="13" spans="1:7" x14ac:dyDescent="0.25">
      <c r="A13" s="1">
        <v>45914</v>
      </c>
      <c r="B13">
        <v>59.85</v>
      </c>
      <c r="C13">
        <v>59.97</v>
      </c>
      <c r="D13">
        <v>60.56</v>
      </c>
      <c r="E13">
        <v>59.37</v>
      </c>
      <c r="F13" t="s">
        <v>1321</v>
      </c>
      <c r="G13" s="2">
        <v>2.2000000000000001E-3</v>
      </c>
    </row>
    <row r="14" spans="1:7" x14ac:dyDescent="0.25">
      <c r="A14" s="1">
        <v>45907</v>
      </c>
      <c r="B14">
        <v>59.72</v>
      </c>
      <c r="C14">
        <v>58.98</v>
      </c>
      <c r="D14">
        <v>59.8</v>
      </c>
      <c r="E14">
        <v>58.75</v>
      </c>
      <c r="F14" t="s">
        <v>1322</v>
      </c>
      <c r="G14" s="2">
        <v>1.77E-2</v>
      </c>
    </row>
    <row r="15" spans="1:7" x14ac:dyDescent="0.25">
      <c r="A15" s="1">
        <v>45900</v>
      </c>
      <c r="B15">
        <v>58.68</v>
      </c>
      <c r="C15">
        <v>59.09</v>
      </c>
      <c r="D15">
        <v>59.13</v>
      </c>
      <c r="E15">
        <v>58.45</v>
      </c>
      <c r="F15" t="s">
        <v>1323</v>
      </c>
      <c r="G15" s="2">
        <v>-4.1999999999999997E-3</v>
      </c>
    </row>
    <row r="16" spans="1:7" x14ac:dyDescent="0.25">
      <c r="A16" s="1">
        <v>45893</v>
      </c>
      <c r="B16">
        <v>58.93</v>
      </c>
      <c r="C16">
        <v>60.63</v>
      </c>
      <c r="D16">
        <v>60.7</v>
      </c>
      <c r="E16">
        <v>58.58</v>
      </c>
      <c r="F16" t="s">
        <v>1324</v>
      </c>
      <c r="G16" s="2">
        <v>-3.1099999999999999E-2</v>
      </c>
    </row>
    <row r="17" spans="1:7" x14ac:dyDescent="0.25">
      <c r="A17" s="1">
        <v>45886</v>
      </c>
      <c r="B17">
        <v>60.82</v>
      </c>
      <c r="C17">
        <v>60.41</v>
      </c>
      <c r="D17">
        <v>61</v>
      </c>
      <c r="E17">
        <v>59.98</v>
      </c>
      <c r="F17" t="s">
        <v>1325</v>
      </c>
      <c r="G17" s="2">
        <v>6.6E-3</v>
      </c>
    </row>
    <row r="18" spans="1:7" x14ac:dyDescent="0.25">
      <c r="A18" s="1">
        <v>45879</v>
      </c>
      <c r="B18">
        <v>60.42</v>
      </c>
      <c r="C18">
        <v>59.21</v>
      </c>
      <c r="D18">
        <v>60.5</v>
      </c>
      <c r="E18">
        <v>58.75</v>
      </c>
      <c r="F18" t="s">
        <v>1326</v>
      </c>
      <c r="G18" s="2">
        <v>2.2700000000000001E-2</v>
      </c>
    </row>
    <row r="19" spans="1:7" x14ac:dyDescent="0.25">
      <c r="A19" s="1">
        <v>45872</v>
      </c>
      <c r="B19">
        <v>59.08</v>
      </c>
      <c r="C19">
        <v>57.83</v>
      </c>
      <c r="D19">
        <v>59.11</v>
      </c>
      <c r="E19">
        <v>57.83</v>
      </c>
      <c r="F19" t="s">
        <v>1327</v>
      </c>
      <c r="G19" s="2">
        <v>2.5899999999999999E-2</v>
      </c>
    </row>
    <row r="20" spans="1:7" x14ac:dyDescent="0.25">
      <c r="A20" s="1">
        <v>45865</v>
      </c>
      <c r="B20">
        <v>57.59</v>
      </c>
      <c r="C20">
        <v>60.45</v>
      </c>
      <c r="D20">
        <v>60.45</v>
      </c>
      <c r="E20">
        <v>57.4</v>
      </c>
      <c r="F20" t="s">
        <v>1328</v>
      </c>
      <c r="G20" s="2">
        <v>-3.6499999999999998E-2</v>
      </c>
    </row>
    <row r="21" spans="1:7" x14ac:dyDescent="0.25">
      <c r="A21" s="1">
        <v>45858</v>
      </c>
      <c r="B21">
        <v>59.77</v>
      </c>
      <c r="C21">
        <v>59.73</v>
      </c>
      <c r="D21">
        <v>60.14</v>
      </c>
      <c r="E21">
        <v>59.02</v>
      </c>
      <c r="F21" t="s">
        <v>1329</v>
      </c>
      <c r="G21" s="2">
        <v>1.1999999999999999E-3</v>
      </c>
    </row>
    <row r="22" spans="1:7" x14ac:dyDescent="0.25">
      <c r="A22" s="1">
        <v>45851</v>
      </c>
      <c r="B22">
        <v>59.7</v>
      </c>
      <c r="C22">
        <v>59.27</v>
      </c>
      <c r="D22">
        <v>60.05</v>
      </c>
      <c r="E22">
        <v>58.91</v>
      </c>
      <c r="F22" t="s">
        <v>1330</v>
      </c>
      <c r="G22" s="2">
        <v>-1.6999999999999999E-3</v>
      </c>
    </row>
    <row r="23" spans="1:7" x14ac:dyDescent="0.25">
      <c r="A23" s="1">
        <v>45844</v>
      </c>
      <c r="B23">
        <v>59.8</v>
      </c>
      <c r="C23">
        <v>58.96</v>
      </c>
      <c r="D23">
        <v>60.62</v>
      </c>
      <c r="E23">
        <v>58.85</v>
      </c>
      <c r="F23" t="s">
        <v>1331</v>
      </c>
      <c r="G23" s="2">
        <v>1.5599999999999999E-2</v>
      </c>
    </row>
    <row r="24" spans="1:7" x14ac:dyDescent="0.25">
      <c r="A24" s="1">
        <v>45837</v>
      </c>
      <c r="B24">
        <v>58.88</v>
      </c>
      <c r="C24">
        <v>58.86</v>
      </c>
      <c r="D24">
        <v>59.39</v>
      </c>
      <c r="E24">
        <v>58.24</v>
      </c>
      <c r="F24" t="s">
        <v>1332</v>
      </c>
      <c r="G24" s="2">
        <v>2.3999999999999998E-3</v>
      </c>
    </row>
    <row r="25" spans="1:7" x14ac:dyDescent="0.25">
      <c r="A25" s="1">
        <v>45830</v>
      </c>
      <c r="B25">
        <v>58.74</v>
      </c>
      <c r="C25">
        <v>57.67</v>
      </c>
      <c r="D25">
        <v>58.74</v>
      </c>
      <c r="E25">
        <v>57.48</v>
      </c>
      <c r="F25" t="s">
        <v>1333</v>
      </c>
      <c r="G25" s="2">
        <v>1.21E-2</v>
      </c>
    </row>
    <row r="26" spans="1:7" x14ac:dyDescent="0.25">
      <c r="A26" s="1">
        <v>45823</v>
      </c>
      <c r="B26">
        <v>58.04</v>
      </c>
      <c r="C26">
        <v>58.84</v>
      </c>
      <c r="D26">
        <v>59.25</v>
      </c>
      <c r="E26">
        <v>57.74</v>
      </c>
      <c r="F26" t="s">
        <v>1334</v>
      </c>
      <c r="G26" s="2">
        <v>-1.04E-2</v>
      </c>
    </row>
    <row r="27" spans="1:7" x14ac:dyDescent="0.25">
      <c r="A27" s="1">
        <v>45816</v>
      </c>
      <c r="B27">
        <v>58.65</v>
      </c>
      <c r="C27">
        <v>59.55</v>
      </c>
      <c r="D27">
        <v>59.81</v>
      </c>
      <c r="E27">
        <v>58.55</v>
      </c>
      <c r="F27" t="s">
        <v>1335</v>
      </c>
      <c r="G27" s="2">
        <v>-1.5299999999999999E-2</v>
      </c>
    </row>
    <row r="28" spans="1:7" x14ac:dyDescent="0.25">
      <c r="A28" s="1">
        <v>45809</v>
      </c>
      <c r="B28">
        <v>59.56</v>
      </c>
      <c r="C28">
        <v>59.02</v>
      </c>
      <c r="D28">
        <v>59.9</v>
      </c>
      <c r="E28">
        <v>58.7</v>
      </c>
      <c r="F28" t="s">
        <v>1336</v>
      </c>
      <c r="G28" s="2">
        <v>6.4000000000000003E-3</v>
      </c>
    </row>
    <row r="29" spans="1:7" x14ac:dyDescent="0.25">
      <c r="A29" s="1">
        <v>45802</v>
      </c>
      <c r="B29">
        <v>59.18</v>
      </c>
      <c r="C29">
        <v>59.67</v>
      </c>
      <c r="D29">
        <v>59.99</v>
      </c>
      <c r="E29">
        <v>59.16</v>
      </c>
      <c r="F29" t="s">
        <v>1337</v>
      </c>
      <c r="G29" s="2">
        <v>4.5999999999999999E-3</v>
      </c>
    </row>
    <row r="30" spans="1:7" x14ac:dyDescent="0.25">
      <c r="A30" s="1">
        <v>45795</v>
      </c>
      <c r="B30">
        <v>58.91</v>
      </c>
      <c r="C30">
        <v>59.66</v>
      </c>
      <c r="D30">
        <v>60.42</v>
      </c>
      <c r="E30">
        <v>58.11</v>
      </c>
      <c r="F30" t="s">
        <v>1338</v>
      </c>
      <c r="G30" s="2">
        <v>-1.3599999999999999E-2</v>
      </c>
    </row>
    <row r="31" spans="1:7" x14ac:dyDescent="0.25">
      <c r="A31" s="1">
        <v>45788</v>
      </c>
      <c r="B31">
        <v>59.72</v>
      </c>
      <c r="C31">
        <v>59.29</v>
      </c>
      <c r="D31">
        <v>59.94</v>
      </c>
      <c r="E31">
        <v>59.11</v>
      </c>
      <c r="F31" t="s">
        <v>1339</v>
      </c>
      <c r="G31" s="2">
        <v>2.12E-2</v>
      </c>
    </row>
    <row r="32" spans="1:7" x14ac:dyDescent="0.25">
      <c r="A32" s="1">
        <v>45781</v>
      </c>
      <c r="B32">
        <v>58.48</v>
      </c>
      <c r="C32">
        <v>58.26</v>
      </c>
      <c r="D32">
        <v>58.67</v>
      </c>
      <c r="E32">
        <v>57.6</v>
      </c>
      <c r="F32" t="s">
        <v>1340</v>
      </c>
      <c r="G32" s="2">
        <v>3.3999999999999998E-3</v>
      </c>
    </row>
    <row r="33" spans="1:7" x14ac:dyDescent="0.25">
      <c r="A33" s="1">
        <v>45774</v>
      </c>
      <c r="B33">
        <v>58.28</v>
      </c>
      <c r="C33">
        <v>56.66</v>
      </c>
      <c r="D33">
        <v>58.32</v>
      </c>
      <c r="E33">
        <v>56.45</v>
      </c>
      <c r="F33" t="s">
        <v>1341</v>
      </c>
      <c r="G33" s="2">
        <v>3.3000000000000002E-2</v>
      </c>
    </row>
    <row r="34" spans="1:7" x14ac:dyDescent="0.25">
      <c r="A34" s="1">
        <v>45767</v>
      </c>
      <c r="B34">
        <v>56.42</v>
      </c>
      <c r="C34">
        <v>54.47</v>
      </c>
      <c r="D34">
        <v>56.66</v>
      </c>
      <c r="E34">
        <v>54.05</v>
      </c>
      <c r="F34" t="s">
        <v>1342</v>
      </c>
      <c r="G34" s="2">
        <v>4.0599999999999997E-2</v>
      </c>
    </row>
    <row r="35" spans="1:7" x14ac:dyDescent="0.25">
      <c r="A35" s="1">
        <v>45760</v>
      </c>
      <c r="B35">
        <v>54.22</v>
      </c>
      <c r="C35">
        <v>53.88</v>
      </c>
      <c r="D35">
        <v>54.71</v>
      </c>
      <c r="E35">
        <v>53.87</v>
      </c>
      <c r="F35" t="s">
        <v>1343</v>
      </c>
      <c r="G35" s="2">
        <v>2.4E-2</v>
      </c>
    </row>
    <row r="36" spans="1:7" x14ac:dyDescent="0.25">
      <c r="A36" s="1">
        <v>45753</v>
      </c>
      <c r="B36">
        <v>52.95</v>
      </c>
      <c r="C36">
        <v>51.15</v>
      </c>
      <c r="D36">
        <v>55.02</v>
      </c>
      <c r="E36">
        <v>50.68</v>
      </c>
      <c r="F36" t="s">
        <v>1344</v>
      </c>
      <c r="G36" s="2">
        <v>-0.02</v>
      </c>
    </row>
    <row r="37" spans="1:7" x14ac:dyDescent="0.25">
      <c r="A37" s="1">
        <v>45746</v>
      </c>
      <c r="B37">
        <v>54.03</v>
      </c>
      <c r="C37">
        <v>58.3</v>
      </c>
      <c r="D37">
        <v>58.47</v>
      </c>
      <c r="E37">
        <v>53.9</v>
      </c>
      <c r="F37" t="s">
        <v>1345</v>
      </c>
      <c r="G37" s="2">
        <v>-8.0199999999999994E-2</v>
      </c>
    </row>
    <row r="38" spans="1:7" x14ac:dyDescent="0.25">
      <c r="A38" s="1">
        <v>45739</v>
      </c>
      <c r="B38">
        <v>58.74</v>
      </c>
      <c r="C38">
        <v>60.15</v>
      </c>
      <c r="D38">
        <v>60.28</v>
      </c>
      <c r="E38">
        <v>58.59</v>
      </c>
      <c r="F38" t="s">
        <v>1346</v>
      </c>
      <c r="G38" s="2">
        <v>-1.3899999999999999E-2</v>
      </c>
    </row>
    <row r="39" spans="1:7" x14ac:dyDescent="0.25">
      <c r="A39" s="1">
        <v>45732</v>
      </c>
      <c r="B39">
        <v>59.57</v>
      </c>
      <c r="C39">
        <v>59.54</v>
      </c>
      <c r="D39">
        <v>60.63</v>
      </c>
      <c r="E39">
        <v>59.42</v>
      </c>
      <c r="F39" t="s">
        <v>1347</v>
      </c>
      <c r="G39" s="2">
        <v>2.0000000000000001E-4</v>
      </c>
    </row>
    <row r="40" spans="1:7" x14ac:dyDescent="0.25">
      <c r="A40" s="1">
        <v>45725</v>
      </c>
      <c r="B40">
        <v>59.56</v>
      </c>
      <c r="C40">
        <v>60.52</v>
      </c>
      <c r="D40">
        <v>60.52</v>
      </c>
      <c r="E40">
        <v>58.8</v>
      </c>
      <c r="F40" t="s">
        <v>1348</v>
      </c>
      <c r="G40" s="2">
        <v>-1.0999999999999999E-2</v>
      </c>
    </row>
    <row r="41" spans="1:7" x14ac:dyDescent="0.25">
      <c r="A41" s="1">
        <v>45718</v>
      </c>
      <c r="B41">
        <v>60.22</v>
      </c>
      <c r="C41">
        <v>60.37</v>
      </c>
      <c r="D41">
        <v>61.16</v>
      </c>
      <c r="E41">
        <v>59.39</v>
      </c>
      <c r="F41" t="s">
        <v>1349</v>
      </c>
      <c r="G41" s="2">
        <v>2.2000000000000001E-3</v>
      </c>
    </row>
    <row r="42" spans="1:7" x14ac:dyDescent="0.25">
      <c r="A42" s="1">
        <v>45711</v>
      </c>
      <c r="B42">
        <v>60.09</v>
      </c>
      <c r="C42">
        <v>60.2</v>
      </c>
      <c r="D42">
        <v>60.48</v>
      </c>
      <c r="E42">
        <v>59.61</v>
      </c>
      <c r="F42" t="s">
        <v>1350</v>
      </c>
      <c r="G42" s="2">
        <v>-3.2000000000000002E-3</v>
      </c>
    </row>
    <row r="43" spans="1:7" x14ac:dyDescent="0.25">
      <c r="A43" s="1">
        <v>45704</v>
      </c>
      <c r="B43">
        <v>60.28</v>
      </c>
      <c r="C43">
        <v>60.51</v>
      </c>
      <c r="D43">
        <v>60.8</v>
      </c>
      <c r="E43">
        <v>59.89</v>
      </c>
      <c r="F43" t="s">
        <v>1351</v>
      </c>
      <c r="G43" s="2">
        <v>-3.5999999999999999E-3</v>
      </c>
    </row>
    <row r="44" spans="1:7" x14ac:dyDescent="0.25">
      <c r="A44" s="1">
        <v>45697</v>
      </c>
      <c r="B44">
        <v>60.5</v>
      </c>
      <c r="C44">
        <v>59.08</v>
      </c>
      <c r="D44">
        <v>60.74</v>
      </c>
      <c r="E44">
        <v>59.08</v>
      </c>
      <c r="F44" t="s">
        <v>1352</v>
      </c>
      <c r="G44" s="2">
        <v>2.4199999999999999E-2</v>
      </c>
    </row>
    <row r="45" spans="1:7" x14ac:dyDescent="0.25">
      <c r="A45" s="1">
        <v>45690</v>
      </c>
      <c r="B45">
        <v>59.07</v>
      </c>
      <c r="C45">
        <v>57.79</v>
      </c>
      <c r="D45">
        <v>59.83</v>
      </c>
      <c r="E45">
        <v>57.74</v>
      </c>
      <c r="F45" t="s">
        <v>1353</v>
      </c>
      <c r="G45" s="2">
        <v>3.2000000000000002E-3</v>
      </c>
    </row>
    <row r="46" spans="1:7" x14ac:dyDescent="0.25">
      <c r="A46" s="1">
        <v>45683</v>
      </c>
      <c r="B46">
        <v>58.88</v>
      </c>
      <c r="C46">
        <v>58.4</v>
      </c>
      <c r="D46">
        <v>59.17</v>
      </c>
      <c r="E46">
        <v>58.16</v>
      </c>
      <c r="F46" t="s">
        <v>1354</v>
      </c>
      <c r="G46" s="2">
        <v>3.0999999999999999E-3</v>
      </c>
    </row>
    <row r="47" spans="1:7" x14ac:dyDescent="0.25">
      <c r="A47" s="1">
        <v>45676</v>
      </c>
      <c r="B47">
        <v>58.7</v>
      </c>
      <c r="C47">
        <v>57.27</v>
      </c>
      <c r="D47">
        <v>59.05</v>
      </c>
      <c r="E47">
        <v>57.13</v>
      </c>
      <c r="F47" t="s">
        <v>1355</v>
      </c>
      <c r="G47" s="2">
        <v>2.75E-2</v>
      </c>
    </row>
    <row r="48" spans="1:7" x14ac:dyDescent="0.25">
      <c r="A48" s="1">
        <v>45669</v>
      </c>
      <c r="B48">
        <v>57.13</v>
      </c>
      <c r="C48">
        <v>54.86</v>
      </c>
      <c r="D48">
        <v>57.24</v>
      </c>
      <c r="E48">
        <v>54.57</v>
      </c>
      <c r="F48" t="s">
        <v>1356</v>
      </c>
      <c r="G48" s="2">
        <v>3.7400000000000003E-2</v>
      </c>
    </row>
    <row r="49" spans="1:7" x14ac:dyDescent="0.25">
      <c r="A49" s="1">
        <v>45662</v>
      </c>
      <c r="B49">
        <v>55.07</v>
      </c>
      <c r="C49">
        <v>54.35</v>
      </c>
      <c r="D49">
        <v>55.7</v>
      </c>
      <c r="E49">
        <v>54.28</v>
      </c>
      <c r="F49" t="s">
        <v>1357</v>
      </c>
      <c r="G49" s="2">
        <v>1.9400000000000001E-2</v>
      </c>
    </row>
    <row r="50" spans="1:7" x14ac:dyDescent="0.25">
      <c r="A50" s="1">
        <v>45655</v>
      </c>
      <c r="B50">
        <v>54.02</v>
      </c>
      <c r="C50">
        <v>54.28</v>
      </c>
      <c r="D50">
        <v>54.89</v>
      </c>
      <c r="E50">
        <v>53.98</v>
      </c>
      <c r="F50" t="s">
        <v>1358</v>
      </c>
      <c r="G50" s="2">
        <v>-8.6E-3</v>
      </c>
    </row>
    <row r="51" spans="1:7" x14ac:dyDescent="0.25">
      <c r="A51" s="1">
        <v>45648</v>
      </c>
      <c r="B51">
        <v>54.49</v>
      </c>
      <c r="C51">
        <v>53.85</v>
      </c>
      <c r="D51">
        <v>54.49</v>
      </c>
      <c r="E51">
        <v>53.85</v>
      </c>
      <c r="F51" t="s">
        <v>1359</v>
      </c>
      <c r="G51" s="2">
        <v>0.01</v>
      </c>
    </row>
    <row r="52" spans="1:7" x14ac:dyDescent="0.25">
      <c r="A52" s="1">
        <v>45641</v>
      </c>
      <c r="B52">
        <v>53.95</v>
      </c>
      <c r="C52">
        <v>54.77</v>
      </c>
      <c r="D52">
        <v>54.79</v>
      </c>
      <c r="E52">
        <v>53.39</v>
      </c>
      <c r="F52" t="s">
        <v>1360</v>
      </c>
      <c r="G52" s="2">
        <v>-1.7500000000000002E-2</v>
      </c>
    </row>
    <row r="53" spans="1:7" x14ac:dyDescent="0.25">
      <c r="A53" s="1">
        <v>45634</v>
      </c>
      <c r="B53">
        <v>54.91</v>
      </c>
      <c r="C53">
        <v>55.47</v>
      </c>
      <c r="D53">
        <v>55.6</v>
      </c>
      <c r="E53">
        <v>54.71</v>
      </c>
      <c r="F53" t="s">
        <v>1361</v>
      </c>
      <c r="G53" s="2">
        <v>-2.3999999999999998E-3</v>
      </c>
    </row>
    <row r="54" spans="1:7" x14ac:dyDescent="0.25">
      <c r="A54" s="1">
        <v>45627</v>
      </c>
      <c r="B54">
        <v>55.04</v>
      </c>
      <c r="C54">
        <v>53.1</v>
      </c>
      <c r="D54">
        <v>55.12</v>
      </c>
      <c r="E54">
        <v>53.1</v>
      </c>
      <c r="F54" t="s">
        <v>1362</v>
      </c>
      <c r="G54" s="2">
        <v>2.76E-2</v>
      </c>
    </row>
    <row r="55" spans="1:7" x14ac:dyDescent="0.25">
      <c r="A55" s="1">
        <v>45620</v>
      </c>
      <c r="B55">
        <v>53.56</v>
      </c>
      <c r="C55">
        <v>54.27</v>
      </c>
      <c r="D55">
        <v>54.27</v>
      </c>
      <c r="E55">
        <v>52.64</v>
      </c>
      <c r="F55" t="s">
        <v>1363</v>
      </c>
      <c r="G55" s="2">
        <v>-2.8E-3</v>
      </c>
    </row>
    <row r="56" spans="1:7" x14ac:dyDescent="0.25">
      <c r="A56" s="1">
        <v>45613</v>
      </c>
      <c r="B56">
        <v>53.71</v>
      </c>
      <c r="C56">
        <v>53.95</v>
      </c>
      <c r="D56">
        <v>54.08</v>
      </c>
      <c r="E56">
        <v>52.91</v>
      </c>
      <c r="F56" t="s">
        <v>1364</v>
      </c>
      <c r="G56" s="2">
        <v>-1.6999999999999999E-3</v>
      </c>
    </row>
    <row r="57" spans="1:7" x14ac:dyDescent="0.25">
      <c r="A57" s="1">
        <v>45606</v>
      </c>
      <c r="B57">
        <v>53.8</v>
      </c>
      <c r="C57">
        <v>54.75</v>
      </c>
      <c r="D57">
        <v>55.13</v>
      </c>
      <c r="E57">
        <v>53</v>
      </c>
      <c r="F57" t="s">
        <v>1365</v>
      </c>
      <c r="G57" s="2">
        <v>-9.1999999999999998E-3</v>
      </c>
    </row>
    <row r="58" spans="1:7" x14ac:dyDescent="0.25">
      <c r="A58" s="1">
        <v>45599</v>
      </c>
      <c r="B58">
        <v>54.3</v>
      </c>
      <c r="C58">
        <v>54.84</v>
      </c>
      <c r="D58">
        <v>55.94</v>
      </c>
      <c r="E58">
        <v>54.3</v>
      </c>
      <c r="F58" t="s">
        <v>1356</v>
      </c>
      <c r="G58" s="2">
        <v>-9.7999999999999997E-3</v>
      </c>
    </row>
    <row r="59" spans="1:7" x14ac:dyDescent="0.25">
      <c r="A59" s="1">
        <v>45592</v>
      </c>
      <c r="B59">
        <v>54.84</v>
      </c>
      <c r="C59">
        <v>55.8</v>
      </c>
      <c r="D59">
        <v>56.28</v>
      </c>
      <c r="E59">
        <v>54.33</v>
      </c>
      <c r="F59" t="s">
        <v>1366</v>
      </c>
      <c r="G59" s="2">
        <v>-1.17E-2</v>
      </c>
    </row>
    <row r="60" spans="1:7" x14ac:dyDescent="0.25">
      <c r="A60" s="1">
        <v>45585</v>
      </c>
      <c r="B60">
        <v>55.49</v>
      </c>
      <c r="C60">
        <v>56.17</v>
      </c>
      <c r="D60">
        <v>56.27</v>
      </c>
      <c r="E60">
        <v>55.31</v>
      </c>
      <c r="F60" t="s">
        <v>1367</v>
      </c>
      <c r="G60" s="2">
        <v>-1.6E-2</v>
      </c>
    </row>
    <row r="61" spans="1:7" x14ac:dyDescent="0.25">
      <c r="A61" s="1">
        <v>45578</v>
      </c>
      <c r="B61">
        <v>56.39</v>
      </c>
      <c r="C61">
        <v>56.2</v>
      </c>
      <c r="D61">
        <v>56.53</v>
      </c>
      <c r="E61">
        <v>55.01</v>
      </c>
      <c r="F61" t="s">
        <v>1368</v>
      </c>
      <c r="G61" s="2">
        <v>3.0000000000000001E-3</v>
      </c>
    </row>
    <row r="62" spans="1:7" x14ac:dyDescent="0.25">
      <c r="A62" s="1">
        <v>45571</v>
      </c>
      <c r="B62">
        <v>56.22</v>
      </c>
      <c r="C62">
        <v>56.09</v>
      </c>
      <c r="D62">
        <v>56.24</v>
      </c>
      <c r="E62">
        <v>55.45</v>
      </c>
      <c r="F62" t="s">
        <v>1369</v>
      </c>
      <c r="G62" s="2">
        <v>4.7999999999999996E-3</v>
      </c>
    </row>
    <row r="63" spans="1:7" x14ac:dyDescent="0.25">
      <c r="A63" s="1">
        <v>45564</v>
      </c>
      <c r="B63">
        <v>55.95</v>
      </c>
      <c r="C63">
        <v>57.35</v>
      </c>
      <c r="D63">
        <v>57.38</v>
      </c>
      <c r="E63">
        <v>55.41</v>
      </c>
      <c r="F63" t="s">
        <v>1327</v>
      </c>
      <c r="G63" s="2">
        <v>-0.03</v>
      </c>
    </row>
    <row r="64" spans="1:7" x14ac:dyDescent="0.25">
      <c r="A64" s="1">
        <v>45557</v>
      </c>
      <c r="B64">
        <v>57.68</v>
      </c>
      <c r="C64">
        <v>55.43</v>
      </c>
      <c r="D64">
        <v>57.75</v>
      </c>
      <c r="E64">
        <v>55.2</v>
      </c>
      <c r="F64" t="s">
        <v>1370</v>
      </c>
      <c r="G64" s="2">
        <v>3.8899999999999997E-2</v>
      </c>
    </row>
    <row r="65" spans="1:7" x14ac:dyDescent="0.25">
      <c r="A65" s="1">
        <v>45550</v>
      </c>
      <c r="B65">
        <v>55.52</v>
      </c>
      <c r="C65">
        <v>55.13</v>
      </c>
      <c r="D65">
        <v>56.32</v>
      </c>
      <c r="E65">
        <v>55.07</v>
      </c>
      <c r="F65" t="s">
        <v>1371</v>
      </c>
      <c r="G65" s="2">
        <v>5.4000000000000003E-3</v>
      </c>
    </row>
    <row r="66" spans="1:7" x14ac:dyDescent="0.25">
      <c r="A66" s="1">
        <v>45543</v>
      </c>
      <c r="B66">
        <v>55.22</v>
      </c>
      <c r="C66">
        <v>54.56</v>
      </c>
      <c r="D66">
        <v>55.35</v>
      </c>
      <c r="E66">
        <v>54.56</v>
      </c>
      <c r="F66" t="s">
        <v>1372</v>
      </c>
      <c r="G66" s="2">
        <v>1.5599999999999999E-2</v>
      </c>
    </row>
    <row r="67" spans="1:7" x14ac:dyDescent="0.25">
      <c r="A67" s="1">
        <v>45536</v>
      </c>
      <c r="B67">
        <v>54.37</v>
      </c>
      <c r="C67">
        <v>56.4</v>
      </c>
      <c r="D67">
        <v>56.67</v>
      </c>
      <c r="E67">
        <v>54.37</v>
      </c>
      <c r="F67" t="s">
        <v>1373</v>
      </c>
      <c r="G67" s="2">
        <v>-3.5700000000000003E-2</v>
      </c>
    </row>
    <row r="68" spans="1:7" x14ac:dyDescent="0.25">
      <c r="A68" s="1">
        <v>45529</v>
      </c>
      <c r="B68">
        <v>56.38</v>
      </c>
      <c r="C68">
        <v>56.01</v>
      </c>
      <c r="D68">
        <v>56.81</v>
      </c>
      <c r="E68">
        <v>55.91</v>
      </c>
      <c r="G68" s="2">
        <v>6.7999999999999996E-3</v>
      </c>
    </row>
    <row r="69" spans="1:7" x14ac:dyDescent="0.25">
      <c r="A69" s="1">
        <v>45522</v>
      </c>
      <c r="B69">
        <v>56</v>
      </c>
      <c r="C69">
        <v>55.04</v>
      </c>
      <c r="D69">
        <v>56</v>
      </c>
      <c r="E69">
        <v>54.98</v>
      </c>
      <c r="F69" t="s">
        <v>1374</v>
      </c>
      <c r="G69" s="2">
        <v>1.8599999999999998E-2</v>
      </c>
    </row>
    <row r="70" spans="1:7" x14ac:dyDescent="0.25">
      <c r="A70" s="1">
        <v>45515</v>
      </c>
      <c r="B70">
        <v>54.98</v>
      </c>
      <c r="C70">
        <v>53.93</v>
      </c>
      <c r="D70">
        <v>55</v>
      </c>
      <c r="E70">
        <v>53.44</v>
      </c>
      <c r="F70" t="s">
        <v>1375</v>
      </c>
      <c r="G70" s="2">
        <v>2.4199999999999999E-2</v>
      </c>
    </row>
    <row r="71" spans="1:7" x14ac:dyDescent="0.25">
      <c r="A71" s="1">
        <v>45508</v>
      </c>
      <c r="B71">
        <v>53.68</v>
      </c>
      <c r="C71">
        <v>52.09</v>
      </c>
      <c r="D71">
        <v>54.06</v>
      </c>
      <c r="E71">
        <v>51.97</v>
      </c>
      <c r="F71" t="s">
        <v>1376</v>
      </c>
      <c r="G71" s="2">
        <v>2.0999999999999999E-3</v>
      </c>
    </row>
    <row r="72" spans="1:7" x14ac:dyDescent="0.25">
      <c r="A72" s="1">
        <v>45501</v>
      </c>
      <c r="B72">
        <v>53.57</v>
      </c>
      <c r="C72">
        <v>55.55</v>
      </c>
      <c r="D72">
        <v>55.83</v>
      </c>
      <c r="E72">
        <v>53.5</v>
      </c>
      <c r="F72" t="s">
        <v>1377</v>
      </c>
      <c r="G72" s="2">
        <v>-3.3000000000000002E-2</v>
      </c>
    </row>
    <row r="73" spans="1:7" x14ac:dyDescent="0.25">
      <c r="A73" s="1">
        <v>45494</v>
      </c>
      <c r="B73">
        <v>55.4</v>
      </c>
      <c r="C73">
        <v>55.56</v>
      </c>
      <c r="D73">
        <v>56.18</v>
      </c>
      <c r="E73">
        <v>54.16</v>
      </c>
      <c r="F73" t="s">
        <v>1378</v>
      </c>
      <c r="G73" s="2">
        <v>2E-3</v>
      </c>
    </row>
    <row r="74" spans="1:7" x14ac:dyDescent="0.25">
      <c r="A74" s="1">
        <v>45487</v>
      </c>
      <c r="B74">
        <v>55.29</v>
      </c>
      <c r="C74">
        <v>56.34</v>
      </c>
      <c r="D74">
        <v>56.49</v>
      </c>
      <c r="E74">
        <v>55.25</v>
      </c>
      <c r="F74" t="s">
        <v>1379</v>
      </c>
      <c r="G74" s="2">
        <v>-2.52E-2</v>
      </c>
    </row>
    <row r="75" spans="1:7" x14ac:dyDescent="0.25">
      <c r="A75" s="1">
        <v>45480</v>
      </c>
      <c r="B75">
        <v>56.72</v>
      </c>
      <c r="C75">
        <v>56.13</v>
      </c>
      <c r="D75">
        <v>56.86</v>
      </c>
      <c r="E75">
        <v>54.97</v>
      </c>
      <c r="F75" t="s">
        <v>1380</v>
      </c>
      <c r="G75" s="2">
        <v>6.4000000000000003E-3</v>
      </c>
    </row>
    <row r="76" spans="1:7" x14ac:dyDescent="0.25">
      <c r="A76" s="1">
        <v>45473</v>
      </c>
      <c r="B76">
        <v>56.36</v>
      </c>
      <c r="C76">
        <v>56.38</v>
      </c>
      <c r="D76">
        <v>56.76</v>
      </c>
      <c r="E76">
        <v>54.93</v>
      </c>
      <c r="F76" t="s">
        <v>1381</v>
      </c>
      <c r="G76" s="2">
        <v>2.75E-2</v>
      </c>
    </row>
    <row r="77" spans="1:7" x14ac:dyDescent="0.25">
      <c r="A77" s="1">
        <v>45466</v>
      </c>
      <c r="B77">
        <v>54.85</v>
      </c>
      <c r="C77">
        <v>56.02</v>
      </c>
      <c r="D77">
        <v>56.62</v>
      </c>
      <c r="E77">
        <v>54.71</v>
      </c>
      <c r="F77" t="s">
        <v>1382</v>
      </c>
      <c r="G77" s="2">
        <v>-1.9300000000000001E-2</v>
      </c>
    </row>
    <row r="78" spans="1:7" x14ac:dyDescent="0.25">
      <c r="A78" s="1">
        <v>45459</v>
      </c>
      <c r="B78">
        <v>55.93</v>
      </c>
      <c r="C78">
        <v>55.2</v>
      </c>
      <c r="D78">
        <v>56.33</v>
      </c>
      <c r="E78">
        <v>54.75</v>
      </c>
      <c r="F78" t="s">
        <v>1383</v>
      </c>
      <c r="G78" s="2">
        <v>1.9300000000000001E-2</v>
      </c>
    </row>
    <row r="79" spans="1:7" x14ac:dyDescent="0.25">
      <c r="A79" s="1">
        <v>45452</v>
      </c>
      <c r="B79">
        <v>54.87</v>
      </c>
      <c r="C79">
        <v>57.26</v>
      </c>
      <c r="D79">
        <v>57.85</v>
      </c>
      <c r="E79">
        <v>54.68</v>
      </c>
      <c r="F79" t="s">
        <v>1384</v>
      </c>
      <c r="G79" s="2">
        <v>-6.2100000000000002E-2</v>
      </c>
    </row>
    <row r="80" spans="1:7" x14ac:dyDescent="0.25">
      <c r="A80" s="1">
        <v>45445</v>
      </c>
      <c r="B80">
        <v>58.5</v>
      </c>
      <c r="C80">
        <v>58.86</v>
      </c>
      <c r="D80">
        <v>58.91</v>
      </c>
      <c r="E80">
        <v>57.89</v>
      </c>
      <c r="F80" t="s">
        <v>1385</v>
      </c>
      <c r="G80" s="2">
        <v>3.0999999999999999E-3</v>
      </c>
    </row>
    <row r="81" spans="1:7" x14ac:dyDescent="0.25">
      <c r="A81" s="1">
        <v>45438</v>
      </c>
      <c r="B81">
        <v>58.32</v>
      </c>
      <c r="C81">
        <v>58.88</v>
      </c>
      <c r="D81">
        <v>59.34</v>
      </c>
      <c r="E81">
        <v>57.78</v>
      </c>
      <c r="F81" t="s">
        <v>1386</v>
      </c>
      <c r="G81" s="2">
        <v>-8.3000000000000001E-3</v>
      </c>
    </row>
    <row r="82" spans="1:7" x14ac:dyDescent="0.25">
      <c r="A82" s="1">
        <v>45431</v>
      </c>
      <c r="B82">
        <v>58.81</v>
      </c>
      <c r="C82">
        <v>59.24</v>
      </c>
      <c r="D82">
        <v>59.5</v>
      </c>
      <c r="E82">
        <v>58.55</v>
      </c>
      <c r="F82" t="s">
        <v>1387</v>
      </c>
      <c r="G82" s="2">
        <v>-4.7000000000000002E-3</v>
      </c>
    </row>
    <row r="83" spans="1:7" x14ac:dyDescent="0.25">
      <c r="A83" s="1">
        <v>45424</v>
      </c>
      <c r="B83">
        <v>59.09</v>
      </c>
      <c r="C83">
        <v>59.57</v>
      </c>
      <c r="D83">
        <v>59.72</v>
      </c>
      <c r="E83">
        <v>58.88</v>
      </c>
      <c r="F83" t="s">
        <v>1388</v>
      </c>
      <c r="G83" s="2">
        <v>-6.1000000000000004E-3</v>
      </c>
    </row>
    <row r="84" spans="1:7" x14ac:dyDescent="0.25">
      <c r="A84" s="1">
        <v>45417</v>
      </c>
      <c r="B84">
        <v>59.45</v>
      </c>
      <c r="C84">
        <v>57.5</v>
      </c>
      <c r="D84">
        <v>59.66</v>
      </c>
      <c r="E84">
        <v>57.5</v>
      </c>
      <c r="F84" t="s">
        <v>1389</v>
      </c>
      <c r="G84" s="2">
        <v>3.5700000000000003E-2</v>
      </c>
    </row>
    <row r="85" spans="1:7" x14ac:dyDescent="0.25">
      <c r="A85" s="1">
        <v>45410</v>
      </c>
      <c r="B85">
        <v>57.4</v>
      </c>
      <c r="C85">
        <v>58.01</v>
      </c>
      <c r="D85">
        <v>58.01</v>
      </c>
      <c r="E85">
        <v>57.06</v>
      </c>
      <c r="F85" t="s">
        <v>1390</v>
      </c>
      <c r="G85" s="2">
        <v>-7.3000000000000001E-3</v>
      </c>
    </row>
    <row r="86" spans="1:7" x14ac:dyDescent="0.25">
      <c r="A86" s="1">
        <v>45403</v>
      </c>
      <c r="B86">
        <v>57.82</v>
      </c>
      <c r="C86">
        <v>57.49</v>
      </c>
      <c r="D86">
        <v>58.12</v>
      </c>
      <c r="E86">
        <v>56.78</v>
      </c>
      <c r="F86" t="s">
        <v>1391</v>
      </c>
      <c r="G86" s="2">
        <v>1.3299999999999999E-2</v>
      </c>
    </row>
    <row r="87" spans="1:7" x14ac:dyDescent="0.25">
      <c r="A87" s="1">
        <v>45396</v>
      </c>
      <c r="B87">
        <v>57.06</v>
      </c>
      <c r="C87">
        <v>57.46</v>
      </c>
      <c r="D87">
        <v>57.72</v>
      </c>
      <c r="E87">
        <v>56.32</v>
      </c>
      <c r="F87" t="s">
        <v>1392</v>
      </c>
      <c r="G87" s="2">
        <v>1.9E-3</v>
      </c>
    </row>
    <row r="88" spans="1:7" x14ac:dyDescent="0.25">
      <c r="A88" s="1">
        <v>45389</v>
      </c>
      <c r="B88">
        <v>56.95</v>
      </c>
      <c r="C88">
        <v>57.46</v>
      </c>
      <c r="D88">
        <v>57.9</v>
      </c>
      <c r="E88">
        <v>56.81</v>
      </c>
      <c r="F88" t="s">
        <v>1393</v>
      </c>
      <c r="G88" s="2">
        <v>-7.3000000000000001E-3</v>
      </c>
    </row>
    <row r="89" spans="1:7" x14ac:dyDescent="0.25">
      <c r="A89" s="1">
        <v>45382</v>
      </c>
      <c r="B89">
        <v>57.37</v>
      </c>
      <c r="C89">
        <v>58.65</v>
      </c>
      <c r="D89">
        <v>58.65</v>
      </c>
      <c r="E89">
        <v>57.16</v>
      </c>
      <c r="F89" t="s">
        <v>1394</v>
      </c>
      <c r="G89" s="2">
        <v>-1.8100000000000002E-2</v>
      </c>
    </row>
    <row r="90" spans="1:7" x14ac:dyDescent="0.25">
      <c r="A90" s="1">
        <v>45375</v>
      </c>
      <c r="B90">
        <v>58.43</v>
      </c>
      <c r="C90">
        <v>57.97</v>
      </c>
      <c r="D90">
        <v>58.65</v>
      </c>
      <c r="E90">
        <v>57.65</v>
      </c>
      <c r="F90" t="s">
        <v>1395</v>
      </c>
      <c r="G90" s="2">
        <v>8.5000000000000006E-3</v>
      </c>
    </row>
    <row r="91" spans="1:7" x14ac:dyDescent="0.25">
      <c r="A91" s="1">
        <v>45368</v>
      </c>
      <c r="B91">
        <v>57.94</v>
      </c>
      <c r="C91">
        <v>58.15</v>
      </c>
      <c r="D91">
        <v>58.45</v>
      </c>
      <c r="E91">
        <v>57.69</v>
      </c>
      <c r="F91" t="s">
        <v>1396</v>
      </c>
      <c r="G91" s="2">
        <v>-2.8E-3</v>
      </c>
    </row>
    <row r="92" spans="1:7" x14ac:dyDescent="0.25">
      <c r="A92" s="1">
        <v>45361</v>
      </c>
      <c r="B92">
        <v>58.1</v>
      </c>
      <c r="C92">
        <v>56.91</v>
      </c>
      <c r="D92">
        <v>58.38</v>
      </c>
      <c r="E92">
        <v>56.85</v>
      </c>
      <c r="F92" t="s">
        <v>1397</v>
      </c>
      <c r="G92" s="2">
        <v>1.66E-2</v>
      </c>
    </row>
    <row r="93" spans="1:7" x14ac:dyDescent="0.25">
      <c r="A93" s="1">
        <v>45354</v>
      </c>
      <c r="B93">
        <v>57.15</v>
      </c>
      <c r="C93">
        <v>56.55</v>
      </c>
      <c r="D93">
        <v>57.25</v>
      </c>
      <c r="E93">
        <v>56.37</v>
      </c>
      <c r="F93" t="s">
        <v>1398</v>
      </c>
      <c r="G93" s="2">
        <v>9.4000000000000004E-3</v>
      </c>
    </row>
    <row r="94" spans="1:7" x14ac:dyDescent="0.25">
      <c r="A94" s="1">
        <v>45347</v>
      </c>
      <c r="B94">
        <v>56.62</v>
      </c>
      <c r="C94">
        <v>56.8</v>
      </c>
      <c r="D94">
        <v>56.94</v>
      </c>
      <c r="E94">
        <v>56.4</v>
      </c>
      <c r="F94" t="s">
        <v>1399</v>
      </c>
      <c r="G94" s="2">
        <v>-4.5999999999999999E-3</v>
      </c>
    </row>
    <row r="95" spans="1:7" x14ac:dyDescent="0.25">
      <c r="A95" s="1">
        <v>45340</v>
      </c>
      <c r="B95">
        <v>56.88</v>
      </c>
      <c r="C95">
        <v>55.33</v>
      </c>
      <c r="D95">
        <v>56.91</v>
      </c>
      <c r="E95">
        <v>55.28</v>
      </c>
      <c r="F95" t="s">
        <v>1400</v>
      </c>
      <c r="G95" s="2">
        <v>2.4899999999999999E-2</v>
      </c>
    </row>
    <row r="96" spans="1:7" x14ac:dyDescent="0.25">
      <c r="A96" s="1">
        <v>45333</v>
      </c>
      <c r="B96">
        <v>55.5</v>
      </c>
      <c r="C96">
        <v>54.95</v>
      </c>
      <c r="D96">
        <v>55.67</v>
      </c>
      <c r="E96">
        <v>54.25</v>
      </c>
      <c r="F96" t="s">
        <v>1401</v>
      </c>
      <c r="G96" s="2">
        <v>1.4800000000000001E-2</v>
      </c>
    </row>
    <row r="97" spans="1:7" x14ac:dyDescent="0.25">
      <c r="A97" s="1">
        <v>45326</v>
      </c>
      <c r="B97">
        <v>54.69</v>
      </c>
      <c r="C97">
        <v>54.36</v>
      </c>
      <c r="D97">
        <v>54.93</v>
      </c>
      <c r="E97">
        <v>54.15</v>
      </c>
      <c r="F97" t="s">
        <v>1402</v>
      </c>
      <c r="G97" s="2">
        <v>5.3E-3</v>
      </c>
    </row>
    <row r="98" spans="1:7" x14ac:dyDescent="0.25">
      <c r="A98" s="1">
        <v>45319</v>
      </c>
      <c r="B98">
        <v>54.4</v>
      </c>
      <c r="C98">
        <v>54.88</v>
      </c>
      <c r="D98">
        <v>55.18</v>
      </c>
      <c r="E98">
        <v>54.26</v>
      </c>
      <c r="F98" t="s">
        <v>1403</v>
      </c>
      <c r="G98" s="2">
        <v>-6.7999999999999996E-3</v>
      </c>
    </row>
    <row r="99" spans="1:7" x14ac:dyDescent="0.25">
      <c r="A99" s="1">
        <v>45312</v>
      </c>
      <c r="B99">
        <v>54.77</v>
      </c>
      <c r="C99">
        <v>53.19</v>
      </c>
      <c r="D99">
        <v>54.78</v>
      </c>
      <c r="E99">
        <v>52.87</v>
      </c>
      <c r="F99" t="s">
        <v>1404</v>
      </c>
      <c r="G99" s="2">
        <v>3.7499999999999999E-2</v>
      </c>
    </row>
    <row r="100" spans="1:7" x14ac:dyDescent="0.25">
      <c r="A100" s="1">
        <v>45305</v>
      </c>
      <c r="B100">
        <v>52.79</v>
      </c>
      <c r="C100">
        <v>53.45</v>
      </c>
      <c r="D100">
        <v>53.45</v>
      </c>
      <c r="E100">
        <v>52.2</v>
      </c>
      <c r="F100" t="s">
        <v>1405</v>
      </c>
      <c r="G100" s="2">
        <v>-1.18E-2</v>
      </c>
    </row>
    <row r="101" spans="1:7" x14ac:dyDescent="0.25">
      <c r="A101" s="1">
        <v>45298</v>
      </c>
      <c r="B101">
        <v>53.42</v>
      </c>
      <c r="C101">
        <v>53.14</v>
      </c>
      <c r="D101">
        <v>53.42</v>
      </c>
      <c r="E101">
        <v>52.8</v>
      </c>
      <c r="F101" t="s">
        <v>1406</v>
      </c>
      <c r="G101" s="2">
        <v>5.1000000000000004E-3</v>
      </c>
    </row>
    <row r="102" spans="1:7" x14ac:dyDescent="0.25">
      <c r="A102" s="1">
        <v>45291</v>
      </c>
      <c r="B102">
        <v>53.15</v>
      </c>
      <c r="C102">
        <v>54.57</v>
      </c>
      <c r="D102">
        <v>54.57</v>
      </c>
      <c r="E102">
        <v>52.69</v>
      </c>
      <c r="F102" t="s">
        <v>1407</v>
      </c>
      <c r="G102" s="2">
        <v>-1.9400000000000001E-2</v>
      </c>
    </row>
    <row r="103" spans="1:7" x14ac:dyDescent="0.25">
      <c r="A103" s="1">
        <v>45284</v>
      </c>
      <c r="B103">
        <v>54.2</v>
      </c>
      <c r="C103">
        <v>54.27</v>
      </c>
      <c r="D103">
        <v>54.41</v>
      </c>
      <c r="E103">
        <v>54</v>
      </c>
      <c r="F103" t="s">
        <v>1408</v>
      </c>
      <c r="G103" s="2">
        <v>-8.9999999999999998E-4</v>
      </c>
    </row>
    <row r="104" spans="1:7" x14ac:dyDescent="0.25">
      <c r="A104" s="1">
        <v>45277</v>
      </c>
      <c r="B104">
        <v>54.25</v>
      </c>
      <c r="C104">
        <v>54.17</v>
      </c>
      <c r="D104">
        <v>54.44</v>
      </c>
      <c r="E104">
        <v>54.08</v>
      </c>
      <c r="F104" t="s">
        <v>1409</v>
      </c>
      <c r="G104" s="2">
        <v>-3.5000000000000001E-3</v>
      </c>
    </row>
    <row r="105" spans="1:7" x14ac:dyDescent="0.25">
      <c r="A105" s="1">
        <v>45270</v>
      </c>
      <c r="B105">
        <v>54.44</v>
      </c>
      <c r="C105">
        <v>53.82</v>
      </c>
      <c r="D105">
        <v>54.75</v>
      </c>
      <c r="E105">
        <v>53.82</v>
      </c>
      <c r="F105" t="s">
        <v>1355</v>
      </c>
      <c r="G105" s="2">
        <v>1.0999999999999999E-2</v>
      </c>
    </row>
    <row r="106" spans="1:7" x14ac:dyDescent="0.25">
      <c r="A106" s="1">
        <v>45263</v>
      </c>
      <c r="B106">
        <v>53.85</v>
      </c>
      <c r="C106">
        <v>52.45</v>
      </c>
      <c r="D106">
        <v>53.86</v>
      </c>
      <c r="E106">
        <v>52.32</v>
      </c>
      <c r="F106" t="s">
        <v>1410</v>
      </c>
      <c r="G106" s="2">
        <v>2.6700000000000002E-2</v>
      </c>
    </row>
    <row r="107" spans="1:7" x14ac:dyDescent="0.25">
      <c r="A107" s="1">
        <v>45256</v>
      </c>
      <c r="B107">
        <v>52.45</v>
      </c>
      <c r="C107">
        <v>52.13</v>
      </c>
      <c r="D107">
        <v>52.51</v>
      </c>
      <c r="E107">
        <v>51.57</v>
      </c>
      <c r="F107" t="s">
        <v>1411</v>
      </c>
      <c r="G107" s="2">
        <v>6.1000000000000004E-3</v>
      </c>
    </row>
    <row r="108" spans="1:7" x14ac:dyDescent="0.25">
      <c r="A108" s="1">
        <v>45249</v>
      </c>
      <c r="B108">
        <v>52.13</v>
      </c>
      <c r="C108">
        <v>51.86</v>
      </c>
      <c r="D108">
        <v>52.14</v>
      </c>
      <c r="E108">
        <v>51.56</v>
      </c>
      <c r="F108" t="s">
        <v>1412</v>
      </c>
      <c r="G108" s="2">
        <v>8.3000000000000001E-3</v>
      </c>
    </row>
    <row r="109" spans="1:7" x14ac:dyDescent="0.25">
      <c r="A109" s="1">
        <v>45242</v>
      </c>
      <c r="B109">
        <v>51.7</v>
      </c>
      <c r="C109">
        <v>50.53</v>
      </c>
      <c r="D109">
        <v>51.75</v>
      </c>
      <c r="E109">
        <v>50.44</v>
      </c>
      <c r="F109" t="s">
        <v>1413</v>
      </c>
      <c r="G109" s="2">
        <v>2.7400000000000001E-2</v>
      </c>
    </row>
    <row r="110" spans="1:7" x14ac:dyDescent="0.25">
      <c r="A110" s="1">
        <v>45235</v>
      </c>
      <c r="B110">
        <v>50.32</v>
      </c>
      <c r="C110">
        <v>50.48</v>
      </c>
      <c r="D110">
        <v>50.84</v>
      </c>
      <c r="E110">
        <v>49.72</v>
      </c>
      <c r="F110" t="s">
        <v>1414</v>
      </c>
      <c r="G110" s="2">
        <v>-2.0000000000000001E-4</v>
      </c>
    </row>
    <row r="111" spans="1:7" x14ac:dyDescent="0.25">
      <c r="A111" s="1">
        <v>45228</v>
      </c>
      <c r="B111">
        <v>50.33</v>
      </c>
      <c r="C111">
        <v>48.68</v>
      </c>
      <c r="D111">
        <v>50.67</v>
      </c>
      <c r="E111">
        <v>48.68</v>
      </c>
      <c r="F111" t="s">
        <v>1415</v>
      </c>
      <c r="G111" s="2">
        <v>3.7600000000000001E-2</v>
      </c>
    </row>
    <row r="112" spans="1:7" x14ac:dyDescent="0.25">
      <c r="A112" s="1">
        <v>45221</v>
      </c>
      <c r="B112">
        <v>48.51</v>
      </c>
      <c r="C112">
        <v>48.74</v>
      </c>
      <c r="D112">
        <v>49.36</v>
      </c>
      <c r="E112">
        <v>48.4</v>
      </c>
      <c r="F112" t="s">
        <v>1367</v>
      </c>
      <c r="G112" s="2">
        <v>-3.8E-3</v>
      </c>
    </row>
    <row r="113" spans="1:7" x14ac:dyDescent="0.25">
      <c r="A113" s="1">
        <v>45214</v>
      </c>
      <c r="B113">
        <v>48.69</v>
      </c>
      <c r="C113">
        <v>50.23</v>
      </c>
      <c r="D113">
        <v>50.26</v>
      </c>
      <c r="E113">
        <v>48.69</v>
      </c>
      <c r="F113" t="s">
        <v>1416</v>
      </c>
      <c r="G113" s="2">
        <v>-2.4899999999999999E-2</v>
      </c>
    </row>
    <row r="114" spans="1:7" x14ac:dyDescent="0.25">
      <c r="A114" s="1">
        <v>45207</v>
      </c>
      <c r="B114">
        <v>49.94</v>
      </c>
      <c r="C114">
        <v>50.38</v>
      </c>
      <c r="D114">
        <v>51.17</v>
      </c>
      <c r="E114">
        <v>49.94</v>
      </c>
      <c r="F114" t="s">
        <v>1417</v>
      </c>
      <c r="G114" s="2">
        <v>-1.0999999999999999E-2</v>
      </c>
    </row>
    <row r="115" spans="1:7" x14ac:dyDescent="0.25">
      <c r="A115" s="1">
        <v>45200</v>
      </c>
      <c r="B115">
        <v>50.49</v>
      </c>
      <c r="C115">
        <v>51.17</v>
      </c>
      <c r="D115">
        <v>51.38</v>
      </c>
      <c r="E115">
        <v>49.7</v>
      </c>
      <c r="F115" t="s">
        <v>1418</v>
      </c>
      <c r="G115" s="2">
        <v>-0.01</v>
      </c>
    </row>
    <row r="116" spans="1:7" x14ac:dyDescent="0.25">
      <c r="A116" s="1">
        <v>45193</v>
      </c>
      <c r="B116">
        <v>51</v>
      </c>
      <c r="C116">
        <v>51.21</v>
      </c>
      <c r="D116">
        <v>51.44</v>
      </c>
      <c r="E116">
        <v>50.38</v>
      </c>
      <c r="F116" t="s">
        <v>1419</v>
      </c>
      <c r="G116" s="2">
        <v>-7.6E-3</v>
      </c>
    </row>
    <row r="117" spans="1:7" x14ac:dyDescent="0.25">
      <c r="A117" s="1">
        <v>45186</v>
      </c>
      <c r="B117">
        <v>51.39</v>
      </c>
      <c r="C117">
        <v>52.67</v>
      </c>
      <c r="D117">
        <v>52.67</v>
      </c>
      <c r="E117">
        <v>51.1</v>
      </c>
      <c r="F117" t="s">
        <v>1420</v>
      </c>
      <c r="G117" s="2">
        <v>-2.6700000000000002E-2</v>
      </c>
    </row>
    <row r="118" spans="1:7" x14ac:dyDescent="0.25">
      <c r="A118" s="1">
        <v>45179</v>
      </c>
      <c r="B118">
        <v>52.8</v>
      </c>
      <c r="C118">
        <v>52.26</v>
      </c>
      <c r="D118">
        <v>53.2</v>
      </c>
      <c r="E118">
        <v>51.44</v>
      </c>
      <c r="F118" t="s">
        <v>1421</v>
      </c>
      <c r="G118" s="2">
        <v>1.6199999999999999E-2</v>
      </c>
    </row>
    <row r="119" spans="1:7" x14ac:dyDescent="0.25">
      <c r="A119" s="1">
        <v>45172</v>
      </c>
      <c r="B119">
        <v>51.96</v>
      </c>
      <c r="C119">
        <v>52.73</v>
      </c>
      <c r="D119">
        <v>52.74</v>
      </c>
      <c r="E119">
        <v>51.48</v>
      </c>
      <c r="F119" t="s">
        <v>1422</v>
      </c>
      <c r="G119" s="2">
        <v>-8.8000000000000005E-3</v>
      </c>
    </row>
    <row r="120" spans="1:7" x14ac:dyDescent="0.25">
      <c r="A120" s="1">
        <v>45165</v>
      </c>
      <c r="B120">
        <v>52.42</v>
      </c>
      <c r="C120">
        <v>52.4</v>
      </c>
      <c r="D120">
        <v>53.01</v>
      </c>
      <c r="E120">
        <v>52.17</v>
      </c>
      <c r="F120" t="s">
        <v>1423</v>
      </c>
      <c r="G120" s="2">
        <v>9.7999999999999997E-3</v>
      </c>
    </row>
    <row r="121" spans="1:7" x14ac:dyDescent="0.25">
      <c r="A121" s="1">
        <v>45158</v>
      </c>
      <c r="B121">
        <v>51.91</v>
      </c>
      <c r="C121">
        <v>51.53</v>
      </c>
      <c r="D121">
        <v>52.65</v>
      </c>
      <c r="E121">
        <v>51.53</v>
      </c>
      <c r="F121" t="s">
        <v>1424</v>
      </c>
      <c r="G121" s="2">
        <v>9.1000000000000004E-3</v>
      </c>
    </row>
    <row r="122" spans="1:7" x14ac:dyDescent="0.25">
      <c r="A122" s="1">
        <v>45151</v>
      </c>
      <c r="B122">
        <v>51.44</v>
      </c>
      <c r="C122">
        <v>52.68</v>
      </c>
      <c r="D122">
        <v>52.9</v>
      </c>
      <c r="E122">
        <v>50.97</v>
      </c>
      <c r="F122" t="s">
        <v>1425</v>
      </c>
      <c r="G122" s="2">
        <v>-2.3900000000000001E-2</v>
      </c>
    </row>
    <row r="123" spans="1:7" x14ac:dyDescent="0.25">
      <c r="A123" s="1">
        <v>45144</v>
      </c>
      <c r="B123">
        <v>52.7</v>
      </c>
      <c r="C123">
        <v>52.4</v>
      </c>
      <c r="D123">
        <v>53.49</v>
      </c>
      <c r="E123">
        <v>51.9</v>
      </c>
      <c r="F123" t="s">
        <v>1426</v>
      </c>
      <c r="G123" s="2">
        <v>3.3999999999999998E-3</v>
      </c>
    </row>
    <row r="124" spans="1:7" x14ac:dyDescent="0.25">
      <c r="A124" s="1">
        <v>45137</v>
      </c>
      <c r="B124">
        <v>52.52</v>
      </c>
      <c r="C124">
        <v>53.63</v>
      </c>
      <c r="D124">
        <v>53.99</v>
      </c>
      <c r="E124">
        <v>51.88</v>
      </c>
      <c r="F124" t="s">
        <v>1427</v>
      </c>
      <c r="G124" s="2">
        <v>-2.23E-2</v>
      </c>
    </row>
    <row r="125" spans="1:7" x14ac:dyDescent="0.25">
      <c r="A125" s="1">
        <v>45130</v>
      </c>
      <c r="B125">
        <v>53.72</v>
      </c>
      <c r="C125">
        <v>53.35</v>
      </c>
      <c r="D125">
        <v>53.81</v>
      </c>
      <c r="E125">
        <v>52.25</v>
      </c>
      <c r="F125" t="s">
        <v>1428</v>
      </c>
      <c r="G125" s="2">
        <v>4.1000000000000003E-3</v>
      </c>
    </row>
    <row r="126" spans="1:7" x14ac:dyDescent="0.25">
      <c r="A126" s="1">
        <v>45123</v>
      </c>
      <c r="B126">
        <v>53.5</v>
      </c>
      <c r="C126">
        <v>52.7</v>
      </c>
      <c r="D126">
        <v>53.5</v>
      </c>
      <c r="E126">
        <v>52.36</v>
      </c>
      <c r="F126" t="s">
        <v>1429</v>
      </c>
      <c r="G126" s="2">
        <v>7.1999999999999998E-3</v>
      </c>
    </row>
    <row r="127" spans="1:7" x14ac:dyDescent="0.25">
      <c r="A127" s="1">
        <v>45116</v>
      </c>
      <c r="B127">
        <v>53.12</v>
      </c>
      <c r="C127">
        <v>51.07</v>
      </c>
      <c r="D127">
        <v>53.26</v>
      </c>
      <c r="E127">
        <v>51.05</v>
      </c>
      <c r="F127" t="s">
        <v>1430</v>
      </c>
      <c r="G127" s="2">
        <v>3.6700000000000003E-2</v>
      </c>
    </row>
    <row r="128" spans="1:7" x14ac:dyDescent="0.25">
      <c r="A128" s="1">
        <v>45109</v>
      </c>
      <c r="B128">
        <v>51.24</v>
      </c>
      <c r="C128">
        <v>53.43</v>
      </c>
      <c r="D128">
        <v>53.43</v>
      </c>
      <c r="E128">
        <v>50.9</v>
      </c>
      <c r="F128" t="s">
        <v>1431</v>
      </c>
      <c r="G128" s="2">
        <v>-3.7699999999999997E-2</v>
      </c>
    </row>
    <row r="129" spans="1:7" x14ac:dyDescent="0.25">
      <c r="A129" s="1">
        <v>45102</v>
      </c>
      <c r="B129">
        <v>53.25</v>
      </c>
      <c r="C129">
        <v>51.63</v>
      </c>
      <c r="D129">
        <v>53.36</v>
      </c>
      <c r="E129">
        <v>51.33</v>
      </c>
      <c r="F129" t="s">
        <v>1432</v>
      </c>
      <c r="G129" s="2">
        <v>3.1399999999999997E-2</v>
      </c>
    </row>
    <row r="130" spans="1:7" x14ac:dyDescent="0.25">
      <c r="A130" s="1">
        <v>45095</v>
      </c>
      <c r="B130">
        <v>51.63</v>
      </c>
      <c r="C130">
        <v>53.03</v>
      </c>
      <c r="D130">
        <v>53.03</v>
      </c>
      <c r="E130">
        <v>51.5</v>
      </c>
      <c r="F130" t="s">
        <v>1433</v>
      </c>
      <c r="G130" s="2">
        <v>-3.0200000000000001E-2</v>
      </c>
    </row>
    <row r="131" spans="1:7" x14ac:dyDescent="0.25">
      <c r="A131" s="1">
        <v>45088</v>
      </c>
      <c r="B131">
        <v>53.24</v>
      </c>
      <c r="C131">
        <v>52.43</v>
      </c>
      <c r="D131">
        <v>53.32</v>
      </c>
      <c r="E131">
        <v>52.22</v>
      </c>
      <c r="F131" t="s">
        <v>1434</v>
      </c>
      <c r="G131" s="2">
        <v>2.3800000000000002E-2</v>
      </c>
    </row>
    <row r="132" spans="1:7" x14ac:dyDescent="0.25">
      <c r="A132" s="1">
        <v>45081</v>
      </c>
      <c r="B132">
        <v>52</v>
      </c>
      <c r="C132">
        <v>52.3</v>
      </c>
      <c r="D132">
        <v>52.39</v>
      </c>
      <c r="E132">
        <v>51.78</v>
      </c>
      <c r="F132" t="s">
        <v>1435</v>
      </c>
      <c r="G132" s="2">
        <v>-7.3000000000000001E-3</v>
      </c>
    </row>
    <row r="133" spans="1:7" x14ac:dyDescent="0.25">
      <c r="A133" s="1">
        <v>45074</v>
      </c>
      <c r="B133">
        <v>52.38</v>
      </c>
      <c r="C133">
        <v>52.77</v>
      </c>
      <c r="D133">
        <v>52.77</v>
      </c>
      <c r="E133">
        <v>51.07</v>
      </c>
      <c r="F133" t="s">
        <v>1436</v>
      </c>
      <c r="G133" s="2">
        <v>-1.6999999999999999E-3</v>
      </c>
    </row>
    <row r="134" spans="1:7" x14ac:dyDescent="0.25">
      <c r="A134" s="1">
        <v>45067</v>
      </c>
      <c r="B134">
        <v>52.47</v>
      </c>
      <c r="C134">
        <v>53.52</v>
      </c>
      <c r="D134">
        <v>53.62</v>
      </c>
      <c r="E134">
        <v>51.67</v>
      </c>
      <c r="F134" t="s">
        <v>1437</v>
      </c>
      <c r="G134" s="2">
        <v>-1.9300000000000001E-2</v>
      </c>
    </row>
    <row r="135" spans="1:7" x14ac:dyDescent="0.25">
      <c r="A135" s="1">
        <v>45060</v>
      </c>
      <c r="B135">
        <v>53.5</v>
      </c>
      <c r="C135">
        <v>53.22</v>
      </c>
      <c r="D135">
        <v>53.74</v>
      </c>
      <c r="E135">
        <v>52.6</v>
      </c>
      <c r="F135" t="s">
        <v>1438</v>
      </c>
      <c r="G135" s="2">
        <v>1.0999999999999999E-2</v>
      </c>
    </row>
    <row r="136" spans="1:7" x14ac:dyDescent="0.25">
      <c r="A136" s="1">
        <v>45053</v>
      </c>
      <c r="B136">
        <v>52.92</v>
      </c>
      <c r="C136">
        <v>52.93</v>
      </c>
      <c r="D136">
        <v>53.21</v>
      </c>
      <c r="E136">
        <v>52.4</v>
      </c>
      <c r="F136" t="s">
        <v>1439</v>
      </c>
      <c r="G136" s="2">
        <v>8.0000000000000004E-4</v>
      </c>
    </row>
    <row r="137" spans="1:7" x14ac:dyDescent="0.25">
      <c r="A137" s="1">
        <v>45046</v>
      </c>
      <c r="B137">
        <v>52.88</v>
      </c>
      <c r="C137">
        <v>53.2</v>
      </c>
      <c r="D137">
        <v>53.26</v>
      </c>
      <c r="E137">
        <v>52.19</v>
      </c>
      <c r="F137" t="s">
        <v>1440</v>
      </c>
      <c r="G137" s="2">
        <v>-6.6E-3</v>
      </c>
    </row>
    <row r="138" spans="1:7" x14ac:dyDescent="0.25">
      <c r="A138" s="1">
        <v>45039</v>
      </c>
      <c r="B138">
        <v>53.23</v>
      </c>
      <c r="C138">
        <v>53.45</v>
      </c>
      <c r="D138">
        <v>53.59</v>
      </c>
      <c r="E138">
        <v>52.69</v>
      </c>
      <c r="F138" t="s">
        <v>1441</v>
      </c>
      <c r="G138" s="2">
        <v>-3.5999999999999999E-3</v>
      </c>
    </row>
    <row r="139" spans="1:7" x14ac:dyDescent="0.25">
      <c r="A139" s="1">
        <v>45032</v>
      </c>
      <c r="B139">
        <v>53.42</v>
      </c>
      <c r="C139">
        <v>53.13</v>
      </c>
      <c r="D139">
        <v>53.42</v>
      </c>
      <c r="E139">
        <v>52.83</v>
      </c>
      <c r="F139" t="s">
        <v>1442</v>
      </c>
      <c r="G139" s="2">
        <v>8.8999999999999999E-3</v>
      </c>
    </row>
    <row r="140" spans="1:7" x14ac:dyDescent="0.25">
      <c r="A140" s="1">
        <v>45025</v>
      </c>
      <c r="B140">
        <v>52.95</v>
      </c>
      <c r="C140">
        <v>51.99</v>
      </c>
      <c r="D140">
        <v>53.03</v>
      </c>
      <c r="E140">
        <v>51.99</v>
      </c>
      <c r="F140" t="s">
        <v>1443</v>
      </c>
      <c r="G140" s="2">
        <v>2.4199999999999999E-2</v>
      </c>
    </row>
    <row r="141" spans="1:7" x14ac:dyDescent="0.25">
      <c r="A141" s="1">
        <v>45018</v>
      </c>
      <c r="B141">
        <v>51.7</v>
      </c>
      <c r="C141">
        <v>51.82</v>
      </c>
      <c r="D141">
        <v>52.09</v>
      </c>
      <c r="E141">
        <v>51.56</v>
      </c>
      <c r="F141" t="s">
        <v>1444</v>
      </c>
      <c r="G141" s="2">
        <v>1.5E-3</v>
      </c>
    </row>
    <row r="142" spans="1:7" x14ac:dyDescent="0.25">
      <c r="A142" s="1">
        <v>45011</v>
      </c>
      <c r="B142">
        <v>51.62</v>
      </c>
      <c r="C142">
        <v>50.1</v>
      </c>
      <c r="D142">
        <v>51.69</v>
      </c>
      <c r="E142">
        <v>49.83</v>
      </c>
      <c r="F142" t="s">
        <v>1445</v>
      </c>
      <c r="G142" s="2">
        <v>4.2599999999999999E-2</v>
      </c>
    </row>
    <row r="143" spans="1:7" x14ac:dyDescent="0.25">
      <c r="A143" s="1">
        <v>45004</v>
      </c>
      <c r="B143">
        <v>49.51</v>
      </c>
      <c r="C143">
        <v>48.72</v>
      </c>
      <c r="D143">
        <v>50.41</v>
      </c>
      <c r="E143">
        <v>48.24</v>
      </c>
      <c r="F143" t="s">
        <v>1435</v>
      </c>
      <c r="G143" s="2">
        <v>1.29E-2</v>
      </c>
    </row>
    <row r="144" spans="1:7" x14ac:dyDescent="0.25">
      <c r="A144" s="1">
        <v>44997</v>
      </c>
      <c r="B144">
        <v>48.88</v>
      </c>
      <c r="C144">
        <v>50.62</v>
      </c>
      <c r="D144">
        <v>50.62</v>
      </c>
      <c r="E144">
        <v>48.58</v>
      </c>
      <c r="F144" t="s">
        <v>1446</v>
      </c>
      <c r="G144" s="2">
        <v>-3.95E-2</v>
      </c>
    </row>
    <row r="145" spans="1:7" x14ac:dyDescent="0.25">
      <c r="A145" s="1">
        <v>44990</v>
      </c>
      <c r="B145">
        <v>50.89</v>
      </c>
      <c r="C145">
        <v>52</v>
      </c>
      <c r="D145">
        <v>52.07</v>
      </c>
      <c r="E145">
        <v>50.55</v>
      </c>
      <c r="F145" t="s">
        <v>1447</v>
      </c>
      <c r="G145" s="2">
        <v>-1.5699999999999999E-2</v>
      </c>
    </row>
    <row r="146" spans="1:7" x14ac:dyDescent="0.25">
      <c r="A146" s="1">
        <v>44983</v>
      </c>
      <c r="B146">
        <v>51.7</v>
      </c>
      <c r="C146">
        <v>51.11</v>
      </c>
      <c r="D146">
        <v>51.75</v>
      </c>
      <c r="E146">
        <v>50.67</v>
      </c>
      <c r="F146" t="s">
        <v>1448</v>
      </c>
      <c r="G146" s="2">
        <v>2.01E-2</v>
      </c>
    </row>
    <row r="147" spans="1:7" x14ac:dyDescent="0.25">
      <c r="A147" s="1">
        <v>44976</v>
      </c>
      <c r="B147">
        <v>50.68</v>
      </c>
      <c r="C147">
        <v>51.94</v>
      </c>
      <c r="D147">
        <v>51.94</v>
      </c>
      <c r="E147">
        <v>50.68</v>
      </c>
      <c r="F147" t="s">
        <v>1449</v>
      </c>
      <c r="G147" s="2">
        <v>-2.1999999999999999E-2</v>
      </c>
    </row>
    <row r="148" spans="1:7" x14ac:dyDescent="0.25">
      <c r="A148" s="1">
        <v>44969</v>
      </c>
      <c r="B148">
        <v>51.82</v>
      </c>
      <c r="C148">
        <v>50.37</v>
      </c>
      <c r="D148">
        <v>51.97</v>
      </c>
      <c r="E148">
        <v>50.37</v>
      </c>
      <c r="F148" t="s">
        <v>1450</v>
      </c>
      <c r="G148" s="2">
        <v>2.98E-2</v>
      </c>
    </row>
    <row r="149" spans="1:7" x14ac:dyDescent="0.25">
      <c r="A149" s="1">
        <v>44962</v>
      </c>
      <c r="B149">
        <v>50.32</v>
      </c>
      <c r="C149">
        <v>50.74</v>
      </c>
      <c r="D149">
        <v>50.97</v>
      </c>
      <c r="E149">
        <v>50.04</v>
      </c>
      <c r="F149" t="s">
        <v>1451</v>
      </c>
      <c r="G149" s="2">
        <v>-1.5299999999999999E-2</v>
      </c>
    </row>
    <row r="150" spans="1:7" x14ac:dyDescent="0.25">
      <c r="A150" s="1">
        <v>44955</v>
      </c>
      <c r="B150">
        <v>51.1</v>
      </c>
      <c r="C150">
        <v>49.99</v>
      </c>
      <c r="D150">
        <v>51.1</v>
      </c>
      <c r="E150">
        <v>49.72</v>
      </c>
      <c r="F150" t="s">
        <v>1452</v>
      </c>
      <c r="G150" s="2">
        <v>1.83E-2</v>
      </c>
    </row>
    <row r="151" spans="1:7" x14ac:dyDescent="0.25">
      <c r="A151" s="1">
        <v>44948</v>
      </c>
      <c r="B151">
        <v>50.18</v>
      </c>
      <c r="C151">
        <v>49.59</v>
      </c>
      <c r="D151">
        <v>50.29</v>
      </c>
      <c r="E151">
        <v>49.5</v>
      </c>
      <c r="F151" t="s">
        <v>1453</v>
      </c>
      <c r="G151" s="2">
        <v>1.49E-2</v>
      </c>
    </row>
    <row r="152" spans="1:7" x14ac:dyDescent="0.25">
      <c r="A152" s="1">
        <v>44941</v>
      </c>
      <c r="B152">
        <v>49.44</v>
      </c>
      <c r="C152">
        <v>49.81</v>
      </c>
      <c r="D152">
        <v>50.27</v>
      </c>
      <c r="E152">
        <v>49.17</v>
      </c>
      <c r="F152" t="s">
        <v>1427</v>
      </c>
      <c r="G152" s="2">
        <v>-3.0999999999999999E-3</v>
      </c>
    </row>
    <row r="153" spans="1:7" x14ac:dyDescent="0.25">
      <c r="A153" s="1">
        <v>44934</v>
      </c>
      <c r="B153">
        <v>49.6</v>
      </c>
      <c r="C153">
        <v>48.38</v>
      </c>
      <c r="D153">
        <v>49.6</v>
      </c>
      <c r="E153">
        <v>48.32</v>
      </c>
      <c r="F153" t="s">
        <v>1454</v>
      </c>
      <c r="G153" s="2">
        <v>2.47E-2</v>
      </c>
    </row>
    <row r="154" spans="1:7" x14ac:dyDescent="0.25">
      <c r="A154" s="1">
        <v>44927</v>
      </c>
      <c r="B154">
        <v>48.4</v>
      </c>
      <c r="C154">
        <v>46.23</v>
      </c>
      <c r="D154">
        <v>48.4</v>
      </c>
      <c r="E154">
        <v>46.22</v>
      </c>
      <c r="F154" t="s">
        <v>1455</v>
      </c>
      <c r="G154" s="2">
        <v>5.0200000000000002E-2</v>
      </c>
    </row>
    <row r="155" spans="1:7" x14ac:dyDescent="0.25">
      <c r="A155" s="1">
        <v>44920</v>
      </c>
      <c r="B155">
        <v>46.09</v>
      </c>
      <c r="C155">
        <v>46.42</v>
      </c>
      <c r="D155">
        <v>46.5</v>
      </c>
      <c r="E155">
        <v>45.81</v>
      </c>
      <c r="F155" t="s">
        <v>1456</v>
      </c>
      <c r="G155" s="2">
        <v>2.0999999999999999E-3</v>
      </c>
    </row>
    <row r="156" spans="1:7" x14ac:dyDescent="0.25">
      <c r="A156" s="1">
        <v>44913</v>
      </c>
      <c r="B156">
        <v>45.99</v>
      </c>
      <c r="C156">
        <v>45.79</v>
      </c>
      <c r="D156">
        <v>46.54</v>
      </c>
      <c r="E156">
        <v>45.23</v>
      </c>
      <c r="F156" t="s">
        <v>1457</v>
      </c>
      <c r="G156" s="2">
        <v>8.3999999999999995E-3</v>
      </c>
    </row>
    <row r="157" spans="1:7" x14ac:dyDescent="0.25">
      <c r="A157" s="1">
        <v>44906</v>
      </c>
      <c r="B157">
        <v>45.61</v>
      </c>
      <c r="C157">
        <v>46.97</v>
      </c>
      <c r="D157">
        <v>47.75</v>
      </c>
      <c r="E157">
        <v>45.57</v>
      </c>
      <c r="F157" t="s">
        <v>1458</v>
      </c>
      <c r="G157" s="2">
        <v>-3.4000000000000002E-2</v>
      </c>
    </row>
    <row r="158" spans="1:7" x14ac:dyDescent="0.25">
      <c r="A158" s="1">
        <v>44899</v>
      </c>
      <c r="B158">
        <v>47.22</v>
      </c>
      <c r="C158">
        <v>47.49</v>
      </c>
      <c r="D158">
        <v>47.51</v>
      </c>
      <c r="E158">
        <v>46.88</v>
      </c>
      <c r="F158" t="s">
        <v>1459</v>
      </c>
      <c r="G158" s="2">
        <v>-8.6E-3</v>
      </c>
    </row>
    <row r="159" spans="1:7" x14ac:dyDescent="0.25">
      <c r="A159" s="1">
        <v>44892</v>
      </c>
      <c r="B159">
        <v>47.63</v>
      </c>
      <c r="C159">
        <v>47.08</v>
      </c>
      <c r="D159">
        <v>47.97</v>
      </c>
      <c r="E159">
        <v>46.92</v>
      </c>
      <c r="F159" t="s">
        <v>1460</v>
      </c>
      <c r="G159" s="2">
        <v>5.5999999999999999E-3</v>
      </c>
    </row>
    <row r="160" spans="1:7" x14ac:dyDescent="0.25">
      <c r="A160" s="1">
        <v>44885</v>
      </c>
      <c r="B160">
        <v>47.36</v>
      </c>
      <c r="C160">
        <v>46.7</v>
      </c>
      <c r="D160">
        <v>47.43</v>
      </c>
      <c r="E160">
        <v>46.7</v>
      </c>
      <c r="F160" t="s">
        <v>1461</v>
      </c>
      <c r="G160" s="2">
        <v>1.1900000000000001E-2</v>
      </c>
    </row>
    <row r="161" spans="1:7" x14ac:dyDescent="0.25">
      <c r="A161" s="1">
        <v>44878</v>
      </c>
      <c r="B161">
        <v>46.81</v>
      </c>
      <c r="C161">
        <v>46.73</v>
      </c>
      <c r="D161">
        <v>46.97</v>
      </c>
      <c r="E161">
        <v>46.08</v>
      </c>
      <c r="F161" t="s">
        <v>1462</v>
      </c>
      <c r="G161" s="2">
        <v>4.4000000000000003E-3</v>
      </c>
    </row>
    <row r="162" spans="1:7" x14ac:dyDescent="0.25">
      <c r="A162" s="1">
        <v>44871</v>
      </c>
      <c r="B162">
        <v>46.6</v>
      </c>
      <c r="C162">
        <v>44.95</v>
      </c>
      <c r="D162">
        <v>46.81</v>
      </c>
      <c r="E162">
        <v>44.9</v>
      </c>
      <c r="F162" t="s">
        <v>1463</v>
      </c>
      <c r="G162" s="2">
        <v>3.0300000000000001E-2</v>
      </c>
    </row>
    <row r="163" spans="1:7" x14ac:dyDescent="0.25">
      <c r="A163" s="1">
        <v>44864</v>
      </c>
      <c r="B163">
        <v>45.23</v>
      </c>
      <c r="C163">
        <v>44.22</v>
      </c>
      <c r="D163">
        <v>45.24</v>
      </c>
      <c r="E163">
        <v>43.78</v>
      </c>
      <c r="F163" t="s">
        <v>1464</v>
      </c>
      <c r="G163" s="2">
        <v>2.18E-2</v>
      </c>
    </row>
    <row r="164" spans="1:7" x14ac:dyDescent="0.25">
      <c r="A164" s="1">
        <v>44857</v>
      </c>
      <c r="B164">
        <v>44.26</v>
      </c>
      <c r="C164">
        <v>43.1</v>
      </c>
      <c r="D164">
        <v>44.3</v>
      </c>
      <c r="E164">
        <v>43.1</v>
      </c>
      <c r="F164" t="s">
        <v>1465</v>
      </c>
      <c r="G164" s="2">
        <v>3.9E-2</v>
      </c>
    </row>
    <row r="165" spans="1:7" x14ac:dyDescent="0.25">
      <c r="A165" s="1">
        <v>44850</v>
      </c>
      <c r="B165">
        <v>42.6</v>
      </c>
      <c r="C165">
        <v>42.15</v>
      </c>
      <c r="D165">
        <v>43.31</v>
      </c>
      <c r="E165">
        <v>42.11</v>
      </c>
      <c r="F165" t="s">
        <v>1466</v>
      </c>
      <c r="G165" s="2">
        <v>1.6199999999999999E-2</v>
      </c>
    </row>
    <row r="166" spans="1:7" x14ac:dyDescent="0.25">
      <c r="A166" s="1">
        <v>44843</v>
      </c>
      <c r="B166">
        <v>41.92</v>
      </c>
      <c r="C166">
        <v>41.24</v>
      </c>
      <c r="D166">
        <v>42.25</v>
      </c>
      <c r="E166">
        <v>40.81</v>
      </c>
      <c r="F166" t="s">
        <v>1467</v>
      </c>
      <c r="G166" s="2">
        <v>9.9000000000000008E-3</v>
      </c>
    </row>
    <row r="167" spans="1:7" x14ac:dyDescent="0.25">
      <c r="A167" s="1">
        <v>44836</v>
      </c>
      <c r="B167">
        <v>41.51</v>
      </c>
      <c r="C167">
        <v>40.380000000000003</v>
      </c>
      <c r="D167">
        <v>42.75</v>
      </c>
      <c r="E167">
        <v>40.08</v>
      </c>
      <c r="F167" t="s">
        <v>1468</v>
      </c>
      <c r="G167" s="2">
        <v>1.84E-2</v>
      </c>
    </row>
    <row r="168" spans="1:7" x14ac:dyDescent="0.25">
      <c r="A168" s="1">
        <v>44829</v>
      </c>
      <c r="B168">
        <v>40.76</v>
      </c>
      <c r="C168">
        <v>40.81</v>
      </c>
      <c r="D168">
        <v>41.31</v>
      </c>
      <c r="E168">
        <v>39.96</v>
      </c>
      <c r="F168" t="s">
        <v>1469</v>
      </c>
      <c r="G168" s="2">
        <v>-2.5999999999999999E-3</v>
      </c>
    </row>
    <row r="169" spans="1:7" x14ac:dyDescent="0.25">
      <c r="A169" s="1">
        <v>44822</v>
      </c>
      <c r="B169">
        <v>40.869999999999997</v>
      </c>
      <c r="C169">
        <v>42.65</v>
      </c>
      <c r="D169">
        <v>43.09</v>
      </c>
      <c r="E169">
        <v>40.83</v>
      </c>
      <c r="F169" t="s">
        <v>1470</v>
      </c>
      <c r="G169" s="2">
        <v>-4.9099999999999998E-2</v>
      </c>
    </row>
    <row r="170" spans="1:7" x14ac:dyDescent="0.25">
      <c r="A170" s="1">
        <v>44815</v>
      </c>
      <c r="B170">
        <v>42.98</v>
      </c>
      <c r="C170">
        <v>44.22</v>
      </c>
      <c r="D170">
        <v>45.18</v>
      </c>
      <c r="E170">
        <v>42.96</v>
      </c>
      <c r="F170" t="s">
        <v>1432</v>
      </c>
      <c r="G170" s="2">
        <v>-2.4299999999999999E-2</v>
      </c>
    </row>
    <row r="171" spans="1:7" x14ac:dyDescent="0.25">
      <c r="A171" s="1">
        <v>44808</v>
      </c>
      <c r="B171">
        <v>44.05</v>
      </c>
      <c r="C171">
        <v>42.83</v>
      </c>
      <c r="D171">
        <v>44.21</v>
      </c>
      <c r="E171">
        <v>42.83</v>
      </c>
      <c r="F171" t="s">
        <v>1471</v>
      </c>
      <c r="G171" s="2">
        <v>6.6E-3</v>
      </c>
    </row>
    <row r="172" spans="1:7" x14ac:dyDescent="0.25">
      <c r="A172" s="1">
        <v>44801</v>
      </c>
      <c r="B172">
        <v>43.76</v>
      </c>
      <c r="C172">
        <v>44.06</v>
      </c>
      <c r="D172">
        <v>44.58</v>
      </c>
      <c r="E172">
        <v>42.74</v>
      </c>
      <c r="F172" t="s">
        <v>1472</v>
      </c>
      <c r="G172" s="2">
        <v>-1.5699999999999999E-2</v>
      </c>
    </row>
    <row r="173" spans="1:7" x14ac:dyDescent="0.25">
      <c r="A173" s="1">
        <v>44794</v>
      </c>
      <c r="B173">
        <v>44.46</v>
      </c>
      <c r="C173">
        <v>45.69</v>
      </c>
      <c r="D173">
        <v>45.69</v>
      </c>
      <c r="E173">
        <v>44.46</v>
      </c>
      <c r="F173" t="s">
        <v>1473</v>
      </c>
      <c r="G173" s="2">
        <v>-3.4799999999999998E-2</v>
      </c>
    </row>
    <row r="174" spans="1:7" x14ac:dyDescent="0.25">
      <c r="A174" s="1">
        <v>44787</v>
      </c>
      <c r="B174">
        <v>46.06</v>
      </c>
      <c r="C174">
        <v>46.7</v>
      </c>
      <c r="D174">
        <v>46.76</v>
      </c>
      <c r="E174">
        <v>46.06</v>
      </c>
      <c r="F174" t="s">
        <v>1474</v>
      </c>
      <c r="G174" s="2">
        <v>-8.6E-3</v>
      </c>
    </row>
    <row r="175" spans="1:7" x14ac:dyDescent="0.25">
      <c r="A175" s="1">
        <v>44780</v>
      </c>
      <c r="B175">
        <v>46.47</v>
      </c>
      <c r="C175">
        <v>46.16</v>
      </c>
      <c r="D175">
        <v>46.54</v>
      </c>
      <c r="E175">
        <v>45.87</v>
      </c>
      <c r="F175" t="s">
        <v>1475</v>
      </c>
      <c r="G175" s="2">
        <v>1.2500000000000001E-2</v>
      </c>
    </row>
    <row r="176" spans="1:7" x14ac:dyDescent="0.25">
      <c r="A176" s="1">
        <v>44773</v>
      </c>
      <c r="B176">
        <v>45.89</v>
      </c>
      <c r="C176">
        <v>45.76</v>
      </c>
      <c r="D176">
        <v>46.34</v>
      </c>
      <c r="E176">
        <v>45.34</v>
      </c>
      <c r="F176" t="s">
        <v>1476</v>
      </c>
      <c r="G176" s="2">
        <v>2.0999999999999999E-3</v>
      </c>
    </row>
    <row r="177" spans="1:7" x14ac:dyDescent="0.25">
      <c r="A177" s="1">
        <v>44766</v>
      </c>
      <c r="B177">
        <v>45.79</v>
      </c>
      <c r="C177">
        <v>44.15</v>
      </c>
      <c r="D177">
        <v>45.94</v>
      </c>
      <c r="E177">
        <v>44.05</v>
      </c>
      <c r="F177" t="s">
        <v>1477</v>
      </c>
      <c r="G177" s="2">
        <v>3.61E-2</v>
      </c>
    </row>
    <row r="178" spans="1:7" x14ac:dyDescent="0.25">
      <c r="A178" s="1">
        <v>44759</v>
      </c>
      <c r="B178">
        <v>44.2</v>
      </c>
      <c r="C178">
        <v>43.15</v>
      </c>
      <c r="D178">
        <v>44.29</v>
      </c>
      <c r="E178">
        <v>43.02</v>
      </c>
      <c r="F178" t="s">
        <v>1478</v>
      </c>
      <c r="G178" s="2">
        <v>2.7900000000000001E-2</v>
      </c>
    </row>
    <row r="179" spans="1:7" x14ac:dyDescent="0.25">
      <c r="A179" s="1">
        <v>44752</v>
      </c>
      <c r="B179">
        <v>43</v>
      </c>
      <c r="C179">
        <v>42.1</v>
      </c>
      <c r="D179">
        <v>43</v>
      </c>
      <c r="E179">
        <v>42.1</v>
      </c>
      <c r="F179" t="s">
        <v>1479</v>
      </c>
      <c r="G179" s="2">
        <v>4.0000000000000001E-3</v>
      </c>
    </row>
    <row r="180" spans="1:7" x14ac:dyDescent="0.25">
      <c r="A180" s="1">
        <v>44745</v>
      </c>
      <c r="B180">
        <v>42.83</v>
      </c>
      <c r="C180">
        <v>42.33</v>
      </c>
      <c r="D180">
        <v>42.99</v>
      </c>
      <c r="E180">
        <v>41.16</v>
      </c>
      <c r="F180" t="s">
        <v>1480</v>
      </c>
      <c r="G180" s="2">
        <v>1.8100000000000002E-2</v>
      </c>
    </row>
    <row r="181" spans="1:7" x14ac:dyDescent="0.25">
      <c r="A181" s="1">
        <v>44738</v>
      </c>
      <c r="B181">
        <v>42.07</v>
      </c>
      <c r="C181">
        <v>43.29</v>
      </c>
      <c r="D181">
        <v>43.42</v>
      </c>
      <c r="E181">
        <v>41.48</v>
      </c>
      <c r="F181" t="s">
        <v>1481</v>
      </c>
      <c r="G181" s="2">
        <v>-2.1600000000000001E-2</v>
      </c>
    </row>
    <row r="182" spans="1:7" x14ac:dyDescent="0.25">
      <c r="A182" s="1">
        <v>44731</v>
      </c>
      <c r="B182">
        <v>43</v>
      </c>
      <c r="C182">
        <v>41.72</v>
      </c>
      <c r="D182">
        <v>43.06</v>
      </c>
      <c r="E182">
        <v>41.44</v>
      </c>
      <c r="F182" t="s">
        <v>1482</v>
      </c>
      <c r="G182" s="2">
        <v>3.3000000000000002E-2</v>
      </c>
    </row>
    <row r="183" spans="1:7" x14ac:dyDescent="0.25">
      <c r="A183" s="1">
        <v>44724</v>
      </c>
      <c r="B183">
        <v>41.63</v>
      </c>
      <c r="C183">
        <v>43.12</v>
      </c>
      <c r="D183">
        <v>43.38</v>
      </c>
      <c r="E183">
        <v>41.58</v>
      </c>
      <c r="F183" t="s">
        <v>1483</v>
      </c>
      <c r="G183" s="2">
        <v>-4.8500000000000001E-2</v>
      </c>
    </row>
    <row r="184" spans="1:7" x14ac:dyDescent="0.25">
      <c r="A184" s="1">
        <v>44717</v>
      </c>
      <c r="B184">
        <v>43.74</v>
      </c>
      <c r="C184">
        <v>46.17</v>
      </c>
      <c r="D184">
        <v>46.34</v>
      </c>
      <c r="E184">
        <v>43.74</v>
      </c>
      <c r="F184" t="s">
        <v>1468</v>
      </c>
      <c r="G184" s="2">
        <v>-4.3400000000000001E-2</v>
      </c>
    </row>
    <row r="185" spans="1:7" x14ac:dyDescent="0.25">
      <c r="A185" s="1">
        <v>44710</v>
      </c>
      <c r="B185">
        <v>45.73</v>
      </c>
      <c r="C185">
        <v>46.32</v>
      </c>
      <c r="D185">
        <v>46.42</v>
      </c>
      <c r="E185">
        <v>45.24</v>
      </c>
      <c r="F185" t="s">
        <v>1484</v>
      </c>
      <c r="G185" s="2">
        <v>-5.1000000000000004E-3</v>
      </c>
    </row>
    <row r="186" spans="1:7" x14ac:dyDescent="0.25">
      <c r="A186" s="1">
        <v>44703</v>
      </c>
      <c r="B186">
        <v>45.97</v>
      </c>
      <c r="C186">
        <v>44.6</v>
      </c>
      <c r="D186">
        <v>45.97</v>
      </c>
      <c r="E186">
        <v>44.1</v>
      </c>
      <c r="F186" t="s">
        <v>1485</v>
      </c>
      <c r="G186" s="2">
        <v>4.0800000000000003E-2</v>
      </c>
    </row>
    <row r="187" spans="1:7" x14ac:dyDescent="0.25">
      <c r="A187" s="1">
        <v>44696</v>
      </c>
      <c r="B187">
        <v>44.17</v>
      </c>
      <c r="C187">
        <v>44.37</v>
      </c>
      <c r="D187">
        <v>45.2</v>
      </c>
      <c r="E187">
        <v>43.67</v>
      </c>
      <c r="F187" t="s">
        <v>1486</v>
      </c>
      <c r="G187" s="2">
        <v>-8.8000000000000005E-3</v>
      </c>
    </row>
    <row r="188" spans="1:7" x14ac:dyDescent="0.25">
      <c r="A188" s="1">
        <v>44689</v>
      </c>
      <c r="B188">
        <v>44.56</v>
      </c>
      <c r="C188">
        <v>43.65</v>
      </c>
      <c r="D188">
        <v>44.56</v>
      </c>
      <c r="E188">
        <v>42.63</v>
      </c>
      <c r="F188" t="s">
        <v>1487</v>
      </c>
      <c r="G188" s="2">
        <v>1.4999999999999999E-2</v>
      </c>
    </row>
    <row r="189" spans="1:7" x14ac:dyDescent="0.25">
      <c r="A189" s="1">
        <v>44682</v>
      </c>
      <c r="B189">
        <v>43.9</v>
      </c>
      <c r="C189">
        <v>45.21</v>
      </c>
      <c r="D189">
        <v>45.69</v>
      </c>
      <c r="E189">
        <v>43.9</v>
      </c>
      <c r="F189" t="s">
        <v>1488</v>
      </c>
      <c r="G189" s="2">
        <v>-3.61E-2</v>
      </c>
    </row>
    <row r="190" spans="1:7" x14ac:dyDescent="0.25">
      <c r="A190" s="1">
        <v>44675</v>
      </c>
      <c r="B190">
        <v>45.54</v>
      </c>
      <c r="C190">
        <v>44.97</v>
      </c>
      <c r="D190">
        <v>45.94</v>
      </c>
      <c r="E190">
        <v>44.72</v>
      </c>
      <c r="F190" t="s">
        <v>1489</v>
      </c>
      <c r="G190" s="2">
        <v>-2.3E-3</v>
      </c>
    </row>
    <row r="191" spans="1:7" x14ac:dyDescent="0.25">
      <c r="A191" s="1">
        <v>44668</v>
      </c>
      <c r="B191">
        <v>45.65</v>
      </c>
      <c r="C191">
        <v>45.57</v>
      </c>
      <c r="D191">
        <v>46.85</v>
      </c>
      <c r="E191">
        <v>45.06</v>
      </c>
      <c r="F191" t="s">
        <v>1490</v>
      </c>
      <c r="G191" s="2">
        <v>0</v>
      </c>
    </row>
    <row r="192" spans="1:7" x14ac:dyDescent="0.25">
      <c r="A192" s="1">
        <v>44661</v>
      </c>
      <c r="B192">
        <v>45.65</v>
      </c>
      <c r="C192">
        <v>45.29</v>
      </c>
      <c r="D192">
        <v>45.81</v>
      </c>
      <c r="E192">
        <v>44.66</v>
      </c>
      <c r="F192" t="s">
        <v>1491</v>
      </c>
      <c r="G192" s="2">
        <v>6.6E-3</v>
      </c>
    </row>
    <row r="193" spans="1:7" x14ac:dyDescent="0.25">
      <c r="A193" s="1">
        <v>44654</v>
      </c>
      <c r="B193">
        <v>45.35</v>
      </c>
      <c r="C193">
        <v>46.51</v>
      </c>
      <c r="D193">
        <v>46.61</v>
      </c>
      <c r="E193">
        <v>44.66</v>
      </c>
      <c r="F193" t="s">
        <v>1488</v>
      </c>
      <c r="G193" s="2">
        <v>-1.8599999999999998E-2</v>
      </c>
    </row>
    <row r="194" spans="1:7" x14ac:dyDescent="0.25">
      <c r="A194" s="1">
        <v>44647</v>
      </c>
      <c r="B194">
        <v>46.21</v>
      </c>
      <c r="C194">
        <v>45.72</v>
      </c>
      <c r="D194">
        <v>47.17</v>
      </c>
      <c r="E194">
        <v>45.65</v>
      </c>
      <c r="F194" t="s">
        <v>1492</v>
      </c>
      <c r="G194" s="2">
        <v>1.7600000000000001E-2</v>
      </c>
    </row>
    <row r="195" spans="1:7" x14ac:dyDescent="0.25">
      <c r="A195" s="1">
        <v>44640</v>
      </c>
      <c r="B195">
        <v>45.4</v>
      </c>
      <c r="C195">
        <v>45.87</v>
      </c>
      <c r="D195">
        <v>46.15</v>
      </c>
      <c r="E195">
        <v>45.37</v>
      </c>
      <c r="F195" t="s">
        <v>1493</v>
      </c>
      <c r="G195" s="2">
        <v>-9.5999999999999992E-3</v>
      </c>
    </row>
    <row r="196" spans="1:7" x14ac:dyDescent="0.25">
      <c r="A196" s="1">
        <v>44633</v>
      </c>
      <c r="B196">
        <v>45.85</v>
      </c>
      <c r="C196">
        <v>43.43</v>
      </c>
      <c r="D196">
        <v>45.96</v>
      </c>
      <c r="E196">
        <v>43.25</v>
      </c>
      <c r="F196" t="s">
        <v>1494</v>
      </c>
      <c r="G196" s="2">
        <v>5.79E-2</v>
      </c>
    </row>
    <row r="197" spans="1:7" x14ac:dyDescent="0.25">
      <c r="A197" s="1">
        <v>44626</v>
      </c>
      <c r="B197">
        <v>43.33</v>
      </c>
      <c r="C197">
        <v>40.24</v>
      </c>
      <c r="D197">
        <v>44.19</v>
      </c>
      <c r="E197">
        <v>39.99</v>
      </c>
      <c r="F197" t="s">
        <v>1495</v>
      </c>
      <c r="G197" s="2">
        <v>3.6200000000000003E-2</v>
      </c>
    </row>
    <row r="198" spans="1:7" x14ac:dyDescent="0.25">
      <c r="A198" s="1">
        <v>44619</v>
      </c>
      <c r="B198">
        <v>41.82</v>
      </c>
      <c r="C198">
        <v>45.59</v>
      </c>
      <c r="D198">
        <v>45.96</v>
      </c>
      <c r="E198">
        <v>41.82</v>
      </c>
      <c r="F198" t="s">
        <v>1496</v>
      </c>
      <c r="G198" s="2">
        <v>-0.1013</v>
      </c>
    </row>
    <row r="199" spans="1:7" x14ac:dyDescent="0.25">
      <c r="A199" s="1">
        <v>44612</v>
      </c>
      <c r="B199">
        <v>46.53</v>
      </c>
      <c r="C199">
        <v>48.08</v>
      </c>
      <c r="D199">
        <v>48.08</v>
      </c>
      <c r="E199">
        <v>44.46</v>
      </c>
      <c r="F199" t="s">
        <v>1497</v>
      </c>
      <c r="G199" s="2">
        <v>-2.52E-2</v>
      </c>
    </row>
    <row r="200" spans="1:7" x14ac:dyDescent="0.25">
      <c r="A200" s="1">
        <v>44605</v>
      </c>
      <c r="B200">
        <v>47.74</v>
      </c>
      <c r="C200">
        <v>47.35</v>
      </c>
      <c r="D200">
        <v>48.33</v>
      </c>
      <c r="E200">
        <v>46.65</v>
      </c>
      <c r="F200" t="s">
        <v>1498</v>
      </c>
      <c r="G200" s="2">
        <v>-1.15E-2</v>
      </c>
    </row>
    <row r="201" spans="1:7" x14ac:dyDescent="0.25">
      <c r="A201" s="1">
        <v>44598</v>
      </c>
      <c r="B201">
        <v>48.29</v>
      </c>
      <c r="C201">
        <v>48.18</v>
      </c>
      <c r="D201">
        <v>49.33</v>
      </c>
      <c r="E201">
        <v>47.94</v>
      </c>
      <c r="F201" t="s">
        <v>1499</v>
      </c>
      <c r="G201" s="2">
        <v>7.7999999999999996E-3</v>
      </c>
    </row>
    <row r="202" spans="1:7" x14ac:dyDescent="0.25">
      <c r="A202" s="1">
        <v>44591</v>
      </c>
      <c r="B202">
        <v>47.92</v>
      </c>
      <c r="C202">
        <v>48.37</v>
      </c>
      <c r="D202">
        <v>49.3</v>
      </c>
      <c r="E202">
        <v>47.72</v>
      </c>
      <c r="F202" t="s">
        <v>1500</v>
      </c>
      <c r="G202" s="2">
        <v>-1.8E-3</v>
      </c>
    </row>
    <row r="203" spans="1:7" x14ac:dyDescent="0.25">
      <c r="A203" s="1">
        <v>44584</v>
      </c>
      <c r="B203">
        <v>48.01</v>
      </c>
      <c r="C203">
        <v>48.5</v>
      </c>
      <c r="D203">
        <v>48.55</v>
      </c>
      <c r="E203">
        <v>46.67</v>
      </c>
      <c r="F203" t="s">
        <v>1501</v>
      </c>
      <c r="G203" s="2">
        <v>-1.54E-2</v>
      </c>
    </row>
    <row r="204" spans="1:7" x14ac:dyDescent="0.25">
      <c r="A204" s="1">
        <v>44577</v>
      </c>
      <c r="B204">
        <v>48.76</v>
      </c>
      <c r="C204">
        <v>49.42</v>
      </c>
      <c r="D204">
        <v>49.67</v>
      </c>
      <c r="E204">
        <v>48.46</v>
      </c>
      <c r="F204" t="s">
        <v>1502</v>
      </c>
      <c r="G204" s="2">
        <v>-9.5999999999999992E-3</v>
      </c>
    </row>
    <row r="205" spans="1:7" x14ac:dyDescent="0.25">
      <c r="A205" s="1">
        <v>44570</v>
      </c>
      <c r="B205">
        <v>49.23</v>
      </c>
      <c r="C205">
        <v>49.9</v>
      </c>
      <c r="D205">
        <v>49.9</v>
      </c>
      <c r="E205">
        <v>49.04</v>
      </c>
      <c r="F205" t="s">
        <v>1503</v>
      </c>
      <c r="G205" s="2">
        <v>-9.7999999999999997E-3</v>
      </c>
    </row>
    <row r="206" spans="1:7" x14ac:dyDescent="0.25">
      <c r="A206" s="1">
        <v>44563</v>
      </c>
      <c r="B206">
        <v>49.72</v>
      </c>
      <c r="C206">
        <v>49.81</v>
      </c>
      <c r="D206">
        <v>50.82</v>
      </c>
      <c r="E206">
        <v>49.58</v>
      </c>
      <c r="F206" t="s">
        <v>1504</v>
      </c>
      <c r="G206" s="2">
        <v>5.1000000000000004E-3</v>
      </c>
    </row>
    <row r="207" spans="1:7" x14ac:dyDescent="0.25">
      <c r="A207" s="1">
        <v>44556</v>
      </c>
      <c r="B207">
        <v>49.47</v>
      </c>
      <c r="C207">
        <v>48.71</v>
      </c>
      <c r="D207">
        <v>49.53</v>
      </c>
      <c r="E207">
        <v>48.71</v>
      </c>
      <c r="F207" t="s">
        <v>1505</v>
      </c>
      <c r="G207" s="2">
        <v>1.03E-2</v>
      </c>
    </row>
    <row r="208" spans="1:7" x14ac:dyDescent="0.25">
      <c r="A208" s="1">
        <v>44549</v>
      </c>
      <c r="B208">
        <v>48.96</v>
      </c>
      <c r="C208">
        <v>46.78</v>
      </c>
      <c r="D208">
        <v>49.05</v>
      </c>
      <c r="E208">
        <v>46.78</v>
      </c>
      <c r="F208" t="s">
        <v>1506</v>
      </c>
      <c r="G208" s="2">
        <v>2.6700000000000002E-2</v>
      </c>
    </row>
    <row r="209" spans="1:7" x14ac:dyDescent="0.25">
      <c r="A209" s="1">
        <v>44542</v>
      </c>
      <c r="B209">
        <v>47.69</v>
      </c>
      <c r="C209">
        <v>48.19</v>
      </c>
      <c r="D209">
        <v>48.44</v>
      </c>
      <c r="E209">
        <v>47.47</v>
      </c>
      <c r="F209" t="s">
        <v>1507</v>
      </c>
      <c r="G209" s="2">
        <v>-1.0200000000000001E-2</v>
      </c>
    </row>
    <row r="210" spans="1:7" x14ac:dyDescent="0.25">
      <c r="A210" s="1">
        <v>44535</v>
      </c>
      <c r="B210">
        <v>48.17</v>
      </c>
      <c r="C210">
        <v>47.02</v>
      </c>
      <c r="D210">
        <v>48.93</v>
      </c>
      <c r="E210">
        <v>46.91</v>
      </c>
      <c r="F210" t="s">
        <v>1508</v>
      </c>
      <c r="G210" s="2">
        <v>3.1899999999999998E-2</v>
      </c>
    </row>
    <row r="211" spans="1:7" x14ac:dyDescent="0.25">
      <c r="A211" s="1">
        <v>44528</v>
      </c>
      <c r="B211">
        <v>46.69</v>
      </c>
      <c r="C211">
        <v>47.1</v>
      </c>
      <c r="D211">
        <v>47.51</v>
      </c>
      <c r="E211">
        <v>46.28</v>
      </c>
      <c r="F211" t="s">
        <v>1509</v>
      </c>
      <c r="G211" s="2">
        <v>1.1000000000000001E-3</v>
      </c>
    </row>
    <row r="212" spans="1:7" x14ac:dyDescent="0.25">
      <c r="A212" s="1">
        <v>44521</v>
      </c>
      <c r="B212">
        <v>46.63</v>
      </c>
      <c r="C212">
        <v>49.32</v>
      </c>
      <c r="D212">
        <v>49.32</v>
      </c>
      <c r="E212">
        <v>46.63</v>
      </c>
      <c r="F212" t="s">
        <v>1510</v>
      </c>
      <c r="G212" s="2">
        <v>-4.8899999999999999E-2</v>
      </c>
    </row>
    <row r="213" spans="1:7" x14ac:dyDescent="0.25">
      <c r="A213" s="1">
        <v>44514</v>
      </c>
      <c r="B213">
        <v>49.03</v>
      </c>
      <c r="C213">
        <v>49.03</v>
      </c>
      <c r="D213">
        <v>49.47</v>
      </c>
      <c r="E213">
        <v>48.78</v>
      </c>
      <c r="F213" t="s">
        <v>1511</v>
      </c>
      <c r="G213" s="2">
        <v>1.8E-3</v>
      </c>
    </row>
    <row r="214" spans="1:7" x14ac:dyDescent="0.25">
      <c r="A214" s="1">
        <v>44507</v>
      </c>
      <c r="B214">
        <v>48.94</v>
      </c>
      <c r="C214">
        <v>48.74</v>
      </c>
      <c r="D214">
        <v>48.94</v>
      </c>
      <c r="E214">
        <v>48.53</v>
      </c>
      <c r="F214" t="s">
        <v>1512</v>
      </c>
      <c r="G214" s="2">
        <v>6.4999999999999997E-3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520B-A9F3-4BDC-80B1-E58DFBD91C00}">
  <dimension ref="A1:G214"/>
  <sheetViews>
    <sheetView tabSelected="1" workbookViewId="0">
      <selection activeCell="I6" sqref="I6"/>
    </sheetView>
  </sheetViews>
  <sheetFormatPr baseColWidth="10" defaultRowHeight="15" x14ac:dyDescent="0.25"/>
  <sheetData>
    <row r="1" spans="1:7" x14ac:dyDescent="0.25">
      <c r="A1" t="s">
        <v>0</v>
      </c>
      <c r="B1" t="s">
        <v>216</v>
      </c>
      <c r="C1" t="s">
        <v>217</v>
      </c>
      <c r="D1" t="s">
        <v>218</v>
      </c>
      <c r="E1" t="s">
        <v>219</v>
      </c>
      <c r="F1" t="s">
        <v>1</v>
      </c>
      <c r="G1" t="s">
        <v>220</v>
      </c>
    </row>
    <row r="2" spans="1:7" x14ac:dyDescent="0.25">
      <c r="A2" s="1">
        <v>45991</v>
      </c>
      <c r="B2" t="s">
        <v>221</v>
      </c>
      <c r="C2" t="s">
        <v>222</v>
      </c>
      <c r="D2" t="s">
        <v>223</v>
      </c>
      <c r="E2" t="s">
        <v>224</v>
      </c>
      <c r="F2" t="s">
        <v>225</v>
      </c>
      <c r="G2" t="s">
        <v>226</v>
      </c>
    </row>
    <row r="3" spans="1:7" x14ac:dyDescent="0.25">
      <c r="A3" s="1">
        <v>45984</v>
      </c>
      <c r="B3" t="s">
        <v>227</v>
      </c>
      <c r="C3" t="s">
        <v>228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A4" s="1">
        <v>45977</v>
      </c>
      <c r="B4" t="s">
        <v>233</v>
      </c>
      <c r="C4" t="s">
        <v>234</v>
      </c>
      <c r="D4" t="s">
        <v>235</v>
      </c>
      <c r="E4" t="s">
        <v>211</v>
      </c>
      <c r="F4" t="s">
        <v>236</v>
      </c>
      <c r="G4" t="s">
        <v>237</v>
      </c>
    </row>
    <row r="5" spans="1:7" x14ac:dyDescent="0.25">
      <c r="A5" s="1">
        <v>45970</v>
      </c>
      <c r="B5" t="s">
        <v>238</v>
      </c>
      <c r="C5" t="s">
        <v>239</v>
      </c>
      <c r="D5" t="s">
        <v>240</v>
      </c>
      <c r="E5" t="s">
        <v>241</v>
      </c>
      <c r="F5" t="s">
        <v>242</v>
      </c>
      <c r="G5" t="s">
        <v>243</v>
      </c>
    </row>
    <row r="6" spans="1:7" x14ac:dyDescent="0.25">
      <c r="A6" s="1">
        <v>45963</v>
      </c>
      <c r="B6" t="s">
        <v>244</v>
      </c>
      <c r="C6" t="s">
        <v>245</v>
      </c>
      <c r="D6" t="s">
        <v>246</v>
      </c>
      <c r="E6" t="s">
        <v>247</v>
      </c>
      <c r="F6" t="s">
        <v>248</v>
      </c>
      <c r="G6" t="s">
        <v>249</v>
      </c>
    </row>
    <row r="7" spans="1:7" x14ac:dyDescent="0.25">
      <c r="A7" s="1">
        <v>45956</v>
      </c>
      <c r="B7" t="s">
        <v>250</v>
      </c>
      <c r="C7" t="s">
        <v>251</v>
      </c>
      <c r="D7" t="s">
        <v>252</v>
      </c>
      <c r="E7" t="s">
        <v>253</v>
      </c>
      <c r="F7" t="s">
        <v>254</v>
      </c>
      <c r="G7" t="s">
        <v>255</v>
      </c>
    </row>
    <row r="8" spans="1:7" x14ac:dyDescent="0.25">
      <c r="A8" s="1">
        <v>45949</v>
      </c>
      <c r="B8" t="s">
        <v>256</v>
      </c>
      <c r="C8" t="s">
        <v>213</v>
      </c>
      <c r="D8" t="s">
        <v>257</v>
      </c>
      <c r="E8" t="s">
        <v>258</v>
      </c>
      <c r="F8" t="s">
        <v>259</v>
      </c>
      <c r="G8" t="s">
        <v>260</v>
      </c>
    </row>
    <row r="9" spans="1:7" x14ac:dyDescent="0.25">
      <c r="A9" s="1">
        <v>45942</v>
      </c>
      <c r="B9" t="s">
        <v>261</v>
      </c>
      <c r="C9" t="s">
        <v>262</v>
      </c>
      <c r="D9" t="s">
        <v>263</v>
      </c>
      <c r="E9" t="s">
        <v>262</v>
      </c>
      <c r="F9" t="s">
        <v>264</v>
      </c>
      <c r="G9" t="s">
        <v>265</v>
      </c>
    </row>
    <row r="10" spans="1:7" x14ac:dyDescent="0.25">
      <c r="A10" s="1">
        <v>45935</v>
      </c>
      <c r="B10" t="s">
        <v>266</v>
      </c>
      <c r="C10" t="s">
        <v>267</v>
      </c>
      <c r="D10" t="s">
        <v>268</v>
      </c>
      <c r="E10" t="s">
        <v>269</v>
      </c>
      <c r="F10" t="s">
        <v>270</v>
      </c>
      <c r="G10" t="s">
        <v>271</v>
      </c>
    </row>
    <row r="11" spans="1:7" x14ac:dyDescent="0.25">
      <c r="A11" s="1">
        <v>45928</v>
      </c>
      <c r="B11" t="s">
        <v>272</v>
      </c>
      <c r="C11" t="s">
        <v>273</v>
      </c>
      <c r="D11" t="s">
        <v>274</v>
      </c>
      <c r="E11" t="s">
        <v>275</v>
      </c>
      <c r="F11" t="s">
        <v>276</v>
      </c>
      <c r="G11" t="s">
        <v>277</v>
      </c>
    </row>
    <row r="12" spans="1:7" x14ac:dyDescent="0.25">
      <c r="A12" s="1">
        <v>45921</v>
      </c>
      <c r="B12" t="s">
        <v>278</v>
      </c>
      <c r="C12" t="s">
        <v>279</v>
      </c>
      <c r="D12" t="s">
        <v>280</v>
      </c>
      <c r="E12" t="s">
        <v>281</v>
      </c>
      <c r="F12" t="s">
        <v>282</v>
      </c>
      <c r="G12" t="s">
        <v>283</v>
      </c>
    </row>
    <row r="13" spans="1:7" x14ac:dyDescent="0.25">
      <c r="A13" s="1">
        <v>45914</v>
      </c>
      <c r="B13" t="s">
        <v>284</v>
      </c>
      <c r="C13" t="s">
        <v>285</v>
      </c>
      <c r="D13" t="s">
        <v>212</v>
      </c>
      <c r="E13" t="s">
        <v>286</v>
      </c>
      <c r="F13" t="s">
        <v>287</v>
      </c>
      <c r="G13" t="s">
        <v>288</v>
      </c>
    </row>
    <row r="14" spans="1:7" x14ac:dyDescent="0.25">
      <c r="A14" s="1">
        <v>45907</v>
      </c>
      <c r="B14" t="s">
        <v>289</v>
      </c>
      <c r="C14" t="s">
        <v>290</v>
      </c>
      <c r="D14" t="s">
        <v>291</v>
      </c>
      <c r="E14" t="s">
        <v>290</v>
      </c>
      <c r="F14" t="s">
        <v>292</v>
      </c>
      <c r="G14" t="s">
        <v>293</v>
      </c>
    </row>
    <row r="15" spans="1:7" x14ac:dyDescent="0.25">
      <c r="A15" s="1">
        <v>45900</v>
      </c>
      <c r="B15" t="s">
        <v>294</v>
      </c>
      <c r="C15" t="s">
        <v>295</v>
      </c>
      <c r="D15" t="s">
        <v>296</v>
      </c>
      <c r="E15" t="s">
        <v>297</v>
      </c>
      <c r="F15" t="s">
        <v>298</v>
      </c>
      <c r="G15" t="s">
        <v>299</v>
      </c>
    </row>
    <row r="16" spans="1:7" x14ac:dyDescent="0.25">
      <c r="A16" s="1">
        <v>45893</v>
      </c>
      <c r="B16" t="s">
        <v>300</v>
      </c>
      <c r="C16" t="s">
        <v>301</v>
      </c>
      <c r="D16" t="s">
        <v>300</v>
      </c>
      <c r="E16" t="s">
        <v>302</v>
      </c>
      <c r="F16" t="s">
        <v>303</v>
      </c>
      <c r="G16" t="s">
        <v>304</v>
      </c>
    </row>
    <row r="17" spans="1:7" x14ac:dyDescent="0.25">
      <c r="A17" s="1">
        <v>45886</v>
      </c>
      <c r="B17" t="s">
        <v>305</v>
      </c>
      <c r="C17" t="s">
        <v>306</v>
      </c>
      <c r="D17" t="s">
        <v>307</v>
      </c>
      <c r="E17" t="s">
        <v>308</v>
      </c>
      <c r="F17" t="s">
        <v>309</v>
      </c>
      <c r="G17" t="s">
        <v>310</v>
      </c>
    </row>
    <row r="18" spans="1:7" x14ac:dyDescent="0.25">
      <c r="A18" s="1">
        <v>45879</v>
      </c>
      <c r="B18" t="s">
        <v>311</v>
      </c>
      <c r="C18" t="s">
        <v>312</v>
      </c>
      <c r="D18" t="s">
        <v>313</v>
      </c>
      <c r="E18" t="s">
        <v>314</v>
      </c>
      <c r="F18" t="s">
        <v>315</v>
      </c>
      <c r="G18" t="s">
        <v>316</v>
      </c>
    </row>
    <row r="19" spans="1:7" x14ac:dyDescent="0.25">
      <c r="A19" s="1">
        <v>45872</v>
      </c>
      <c r="B19" t="s">
        <v>317</v>
      </c>
      <c r="C19" t="s">
        <v>318</v>
      </c>
      <c r="D19" t="s">
        <v>319</v>
      </c>
      <c r="E19" t="s">
        <v>318</v>
      </c>
      <c r="F19" t="s">
        <v>320</v>
      </c>
      <c r="G19" t="s">
        <v>321</v>
      </c>
    </row>
    <row r="20" spans="1:7" x14ac:dyDescent="0.25">
      <c r="A20" s="1">
        <v>45865</v>
      </c>
      <c r="B20" t="s">
        <v>322</v>
      </c>
      <c r="C20" t="s">
        <v>323</v>
      </c>
      <c r="D20" t="s">
        <v>324</v>
      </c>
      <c r="E20" t="s">
        <v>325</v>
      </c>
      <c r="F20" t="s">
        <v>326</v>
      </c>
      <c r="G20" t="s">
        <v>327</v>
      </c>
    </row>
    <row r="21" spans="1:7" x14ac:dyDescent="0.25">
      <c r="A21" s="1">
        <v>45858</v>
      </c>
      <c r="B21" t="s">
        <v>328</v>
      </c>
      <c r="C21" t="s">
        <v>329</v>
      </c>
      <c r="D21" t="s">
        <v>330</v>
      </c>
      <c r="E21" t="s">
        <v>331</v>
      </c>
      <c r="F21" t="s">
        <v>332</v>
      </c>
      <c r="G21" t="s">
        <v>333</v>
      </c>
    </row>
    <row r="22" spans="1:7" x14ac:dyDescent="0.25">
      <c r="A22" s="1">
        <v>45851</v>
      </c>
      <c r="B22" t="s">
        <v>334</v>
      </c>
      <c r="C22" t="s">
        <v>335</v>
      </c>
      <c r="D22" t="s">
        <v>336</v>
      </c>
      <c r="E22" t="s">
        <v>337</v>
      </c>
      <c r="F22" t="s">
        <v>338</v>
      </c>
      <c r="G22" t="s">
        <v>339</v>
      </c>
    </row>
    <row r="23" spans="1:7" x14ac:dyDescent="0.25">
      <c r="A23" s="1">
        <v>45844</v>
      </c>
      <c r="B23" t="s">
        <v>340</v>
      </c>
      <c r="C23" t="s">
        <v>341</v>
      </c>
      <c r="D23" t="s">
        <v>342</v>
      </c>
      <c r="E23" t="s">
        <v>343</v>
      </c>
      <c r="F23" t="s">
        <v>344</v>
      </c>
      <c r="G23" t="s">
        <v>345</v>
      </c>
    </row>
    <row r="24" spans="1:7" x14ac:dyDescent="0.25">
      <c r="A24" s="1">
        <v>45837</v>
      </c>
      <c r="B24" t="s">
        <v>346</v>
      </c>
      <c r="C24" t="s">
        <v>347</v>
      </c>
      <c r="D24" t="s">
        <v>348</v>
      </c>
      <c r="E24" t="s">
        <v>349</v>
      </c>
      <c r="F24" t="s">
        <v>350</v>
      </c>
      <c r="G24" t="s">
        <v>351</v>
      </c>
    </row>
    <row r="25" spans="1:7" x14ac:dyDescent="0.25">
      <c r="A25" s="1">
        <v>45830</v>
      </c>
      <c r="B25" t="s">
        <v>352</v>
      </c>
      <c r="C25" t="s">
        <v>353</v>
      </c>
      <c r="D25" t="s">
        <v>354</v>
      </c>
      <c r="E25" t="s">
        <v>355</v>
      </c>
      <c r="F25" t="s">
        <v>356</v>
      </c>
      <c r="G25" t="s">
        <v>357</v>
      </c>
    </row>
    <row r="26" spans="1:7" x14ac:dyDescent="0.25">
      <c r="A26" s="1">
        <v>45823</v>
      </c>
      <c r="B26" t="s">
        <v>358</v>
      </c>
      <c r="C26" t="s">
        <v>359</v>
      </c>
      <c r="D26" t="s">
        <v>360</v>
      </c>
      <c r="E26" t="s">
        <v>361</v>
      </c>
      <c r="F26" t="s">
        <v>362</v>
      </c>
      <c r="G26" t="s">
        <v>363</v>
      </c>
    </row>
    <row r="27" spans="1:7" x14ac:dyDescent="0.25">
      <c r="A27" s="1">
        <v>45816</v>
      </c>
      <c r="B27" t="s">
        <v>364</v>
      </c>
      <c r="C27" t="s">
        <v>365</v>
      </c>
      <c r="D27" t="s">
        <v>366</v>
      </c>
      <c r="E27" t="s">
        <v>367</v>
      </c>
      <c r="F27" t="s">
        <v>368</v>
      </c>
      <c r="G27" t="s">
        <v>369</v>
      </c>
    </row>
    <row r="28" spans="1:7" x14ac:dyDescent="0.25">
      <c r="A28" s="1">
        <v>45809</v>
      </c>
      <c r="B28" t="s">
        <v>370</v>
      </c>
      <c r="C28" t="s">
        <v>371</v>
      </c>
      <c r="D28" t="s">
        <v>372</v>
      </c>
      <c r="E28" t="s">
        <v>373</v>
      </c>
      <c r="F28" t="s">
        <v>374</v>
      </c>
      <c r="G28" t="s">
        <v>375</v>
      </c>
    </row>
    <row r="29" spans="1:7" x14ac:dyDescent="0.25">
      <c r="A29" s="1">
        <v>45802</v>
      </c>
      <c r="B29" t="s">
        <v>376</v>
      </c>
      <c r="C29" t="s">
        <v>377</v>
      </c>
      <c r="D29" t="s">
        <v>378</v>
      </c>
      <c r="E29" t="s">
        <v>379</v>
      </c>
      <c r="F29" t="s">
        <v>380</v>
      </c>
      <c r="G29" t="s">
        <v>381</v>
      </c>
    </row>
    <row r="30" spans="1:7" x14ac:dyDescent="0.25">
      <c r="A30" s="1">
        <v>45795</v>
      </c>
      <c r="B30" t="s">
        <v>382</v>
      </c>
      <c r="C30" t="s">
        <v>383</v>
      </c>
      <c r="D30" t="s">
        <v>384</v>
      </c>
      <c r="E30" t="s">
        <v>385</v>
      </c>
      <c r="F30" t="s">
        <v>386</v>
      </c>
      <c r="G30" t="s">
        <v>387</v>
      </c>
    </row>
    <row r="31" spans="1:7" x14ac:dyDescent="0.25">
      <c r="A31" s="1">
        <v>45788</v>
      </c>
      <c r="B31" t="s">
        <v>388</v>
      </c>
      <c r="C31" t="s">
        <v>389</v>
      </c>
      <c r="D31" t="s">
        <v>390</v>
      </c>
      <c r="E31" t="s">
        <v>391</v>
      </c>
      <c r="F31" t="s">
        <v>392</v>
      </c>
      <c r="G31" t="s">
        <v>393</v>
      </c>
    </row>
    <row r="32" spans="1:7" x14ac:dyDescent="0.25">
      <c r="A32" s="1">
        <v>45781</v>
      </c>
      <c r="B32" t="s">
        <v>394</v>
      </c>
      <c r="C32" t="s">
        <v>395</v>
      </c>
      <c r="D32" t="s">
        <v>396</v>
      </c>
      <c r="E32" t="s">
        <v>395</v>
      </c>
      <c r="F32" t="s">
        <v>397</v>
      </c>
      <c r="G32" t="s">
        <v>398</v>
      </c>
    </row>
    <row r="33" spans="1:7" x14ac:dyDescent="0.25">
      <c r="A33" s="1">
        <v>45774</v>
      </c>
      <c r="B33" t="s">
        <v>399</v>
      </c>
      <c r="C33" t="s">
        <v>400</v>
      </c>
      <c r="D33" t="s">
        <v>401</v>
      </c>
      <c r="E33" t="s">
        <v>399</v>
      </c>
      <c r="F33" t="s">
        <v>402</v>
      </c>
      <c r="G33" t="s">
        <v>403</v>
      </c>
    </row>
    <row r="34" spans="1:7" x14ac:dyDescent="0.25">
      <c r="A34" s="1">
        <v>45767</v>
      </c>
      <c r="B34" t="s">
        <v>404</v>
      </c>
      <c r="C34" t="s">
        <v>405</v>
      </c>
      <c r="D34" t="s">
        <v>406</v>
      </c>
      <c r="E34" t="s">
        <v>407</v>
      </c>
      <c r="F34" t="s">
        <v>408</v>
      </c>
      <c r="G34" t="s">
        <v>409</v>
      </c>
    </row>
    <row r="35" spans="1:7" x14ac:dyDescent="0.25">
      <c r="A35" s="1">
        <v>45760</v>
      </c>
      <c r="B35" t="s">
        <v>410</v>
      </c>
      <c r="C35" t="s">
        <v>411</v>
      </c>
      <c r="D35" t="s">
        <v>412</v>
      </c>
      <c r="E35" t="s">
        <v>413</v>
      </c>
      <c r="F35" t="s">
        <v>414</v>
      </c>
      <c r="G35" t="s">
        <v>415</v>
      </c>
    </row>
    <row r="36" spans="1:7" x14ac:dyDescent="0.25">
      <c r="A36" s="1">
        <v>45753</v>
      </c>
      <c r="B36" t="s">
        <v>334</v>
      </c>
      <c r="C36" t="s">
        <v>416</v>
      </c>
      <c r="D36" t="s">
        <v>417</v>
      </c>
      <c r="E36" t="s">
        <v>418</v>
      </c>
      <c r="F36" t="s">
        <v>419</v>
      </c>
      <c r="G36" t="s">
        <v>420</v>
      </c>
    </row>
    <row r="37" spans="1:7" x14ac:dyDescent="0.25">
      <c r="A37" s="1">
        <v>45746</v>
      </c>
      <c r="B37" t="s">
        <v>421</v>
      </c>
      <c r="C37" t="s">
        <v>422</v>
      </c>
      <c r="D37" t="s">
        <v>423</v>
      </c>
      <c r="E37" t="s">
        <v>424</v>
      </c>
      <c r="F37" t="s">
        <v>425</v>
      </c>
      <c r="G37" t="s">
        <v>426</v>
      </c>
    </row>
    <row r="38" spans="1:7" x14ac:dyDescent="0.25">
      <c r="A38" s="1">
        <v>45739</v>
      </c>
      <c r="B38" t="s">
        <v>427</v>
      </c>
      <c r="C38" t="s">
        <v>428</v>
      </c>
      <c r="D38" t="s">
        <v>429</v>
      </c>
      <c r="E38" t="s">
        <v>430</v>
      </c>
      <c r="F38" t="s">
        <v>431</v>
      </c>
      <c r="G38" t="s">
        <v>432</v>
      </c>
    </row>
    <row r="39" spans="1:7" x14ac:dyDescent="0.25">
      <c r="A39" s="1">
        <v>45732</v>
      </c>
      <c r="B39" t="s">
        <v>433</v>
      </c>
      <c r="C39" t="s">
        <v>434</v>
      </c>
      <c r="D39" t="s">
        <v>435</v>
      </c>
      <c r="E39" t="s">
        <v>436</v>
      </c>
      <c r="F39" t="s">
        <v>437</v>
      </c>
      <c r="G39" t="s">
        <v>438</v>
      </c>
    </row>
    <row r="40" spans="1:7" x14ac:dyDescent="0.25">
      <c r="A40" s="1">
        <v>45725</v>
      </c>
      <c r="B40" t="s">
        <v>439</v>
      </c>
      <c r="C40" t="s">
        <v>440</v>
      </c>
      <c r="D40" t="s">
        <v>441</v>
      </c>
      <c r="E40" t="s">
        <v>442</v>
      </c>
      <c r="F40" t="s">
        <v>443</v>
      </c>
      <c r="G40" t="s">
        <v>444</v>
      </c>
    </row>
    <row r="41" spans="1:7" x14ac:dyDescent="0.25">
      <c r="A41" s="1">
        <v>45718</v>
      </c>
      <c r="B41" t="s">
        <v>445</v>
      </c>
      <c r="C41" t="s">
        <v>446</v>
      </c>
      <c r="D41" t="s">
        <v>447</v>
      </c>
      <c r="E41" t="s">
        <v>448</v>
      </c>
      <c r="F41" t="s">
        <v>449</v>
      </c>
      <c r="G41" t="s">
        <v>450</v>
      </c>
    </row>
    <row r="42" spans="1:7" x14ac:dyDescent="0.25">
      <c r="A42" s="1">
        <v>45711</v>
      </c>
      <c r="B42" t="s">
        <v>451</v>
      </c>
      <c r="C42" t="s">
        <v>452</v>
      </c>
      <c r="D42" t="s">
        <v>453</v>
      </c>
      <c r="E42" t="s">
        <v>454</v>
      </c>
      <c r="F42" t="s">
        <v>455</v>
      </c>
      <c r="G42" t="s">
        <v>456</v>
      </c>
    </row>
    <row r="43" spans="1:7" x14ac:dyDescent="0.25">
      <c r="A43" s="1">
        <v>45704</v>
      </c>
      <c r="B43" t="s">
        <v>457</v>
      </c>
      <c r="C43" t="s">
        <v>458</v>
      </c>
      <c r="D43" t="s">
        <v>391</v>
      </c>
      <c r="E43" t="s">
        <v>459</v>
      </c>
      <c r="F43" t="s">
        <v>460</v>
      </c>
      <c r="G43" t="s">
        <v>461</v>
      </c>
    </row>
    <row r="44" spans="1:7" x14ac:dyDescent="0.25">
      <c r="A44" s="1">
        <v>45697</v>
      </c>
      <c r="B44" t="s">
        <v>462</v>
      </c>
      <c r="C44" t="s">
        <v>463</v>
      </c>
      <c r="D44" t="s">
        <v>464</v>
      </c>
      <c r="E44" t="s">
        <v>462</v>
      </c>
      <c r="F44" t="s">
        <v>465</v>
      </c>
      <c r="G44" t="s">
        <v>466</v>
      </c>
    </row>
    <row r="45" spans="1:7" x14ac:dyDescent="0.25">
      <c r="A45" s="1">
        <v>45690</v>
      </c>
      <c r="B45" t="s">
        <v>467</v>
      </c>
      <c r="C45" t="s">
        <v>468</v>
      </c>
      <c r="D45" t="s">
        <v>469</v>
      </c>
      <c r="E45" t="s">
        <v>470</v>
      </c>
      <c r="F45" t="s">
        <v>471</v>
      </c>
      <c r="G45" t="s">
        <v>472</v>
      </c>
    </row>
    <row r="46" spans="1:7" x14ac:dyDescent="0.25">
      <c r="A46" s="1">
        <v>45683</v>
      </c>
      <c r="B46" t="s">
        <v>473</v>
      </c>
      <c r="C46" t="s">
        <v>474</v>
      </c>
      <c r="D46" t="s">
        <v>473</v>
      </c>
      <c r="E46" t="s">
        <v>475</v>
      </c>
      <c r="F46" t="s">
        <v>476</v>
      </c>
      <c r="G46" t="s">
        <v>477</v>
      </c>
    </row>
    <row r="47" spans="1:7" x14ac:dyDescent="0.25">
      <c r="A47" s="1">
        <v>45676</v>
      </c>
      <c r="B47" t="s">
        <v>478</v>
      </c>
      <c r="C47" t="s">
        <v>479</v>
      </c>
      <c r="D47" t="s">
        <v>480</v>
      </c>
      <c r="E47" t="s">
        <v>481</v>
      </c>
      <c r="F47" t="s">
        <v>482</v>
      </c>
      <c r="G47" t="s">
        <v>483</v>
      </c>
    </row>
    <row r="48" spans="1:7" x14ac:dyDescent="0.25">
      <c r="A48" s="1">
        <v>45669</v>
      </c>
      <c r="B48" t="s">
        <v>484</v>
      </c>
      <c r="C48" t="s">
        <v>485</v>
      </c>
      <c r="D48" t="s">
        <v>486</v>
      </c>
      <c r="E48" t="s">
        <v>487</v>
      </c>
      <c r="F48" t="s">
        <v>488</v>
      </c>
      <c r="G48" t="s">
        <v>489</v>
      </c>
    </row>
    <row r="49" spans="1:7" x14ac:dyDescent="0.25">
      <c r="A49" s="1">
        <v>45662</v>
      </c>
      <c r="B49" t="s">
        <v>490</v>
      </c>
      <c r="C49" t="s">
        <v>491</v>
      </c>
      <c r="D49" t="s">
        <v>492</v>
      </c>
      <c r="E49" t="s">
        <v>493</v>
      </c>
      <c r="F49" t="s">
        <v>494</v>
      </c>
      <c r="G49" t="s">
        <v>495</v>
      </c>
    </row>
    <row r="50" spans="1:7" x14ac:dyDescent="0.25">
      <c r="A50" s="1">
        <v>45655</v>
      </c>
      <c r="B50" t="s">
        <v>496</v>
      </c>
      <c r="C50" t="s">
        <v>497</v>
      </c>
      <c r="D50" t="s">
        <v>498</v>
      </c>
      <c r="E50" t="s">
        <v>499</v>
      </c>
      <c r="F50" t="s">
        <v>500</v>
      </c>
      <c r="G50" t="s">
        <v>501</v>
      </c>
    </row>
    <row r="51" spans="1:7" x14ac:dyDescent="0.25">
      <c r="A51" s="1">
        <v>45648</v>
      </c>
      <c r="B51" t="s">
        <v>502</v>
      </c>
      <c r="C51" t="s">
        <v>503</v>
      </c>
      <c r="D51" t="s">
        <v>503</v>
      </c>
      <c r="E51" t="s">
        <v>499</v>
      </c>
      <c r="F51" t="s">
        <v>504</v>
      </c>
      <c r="G51" t="s">
        <v>505</v>
      </c>
    </row>
    <row r="52" spans="1:7" x14ac:dyDescent="0.25">
      <c r="A52" s="1">
        <v>45641</v>
      </c>
      <c r="B52" t="s">
        <v>506</v>
      </c>
      <c r="C52" t="s">
        <v>507</v>
      </c>
      <c r="D52" t="s">
        <v>507</v>
      </c>
      <c r="E52" t="s">
        <v>508</v>
      </c>
      <c r="F52" t="s">
        <v>509</v>
      </c>
      <c r="G52" t="s">
        <v>510</v>
      </c>
    </row>
    <row r="53" spans="1:7" x14ac:dyDescent="0.25">
      <c r="A53" s="1">
        <v>45634</v>
      </c>
      <c r="B53" t="s">
        <v>511</v>
      </c>
      <c r="C53" t="s">
        <v>512</v>
      </c>
      <c r="D53" t="s">
        <v>513</v>
      </c>
      <c r="E53" t="s">
        <v>514</v>
      </c>
      <c r="F53" t="s">
        <v>515</v>
      </c>
      <c r="G53" t="s">
        <v>516</v>
      </c>
    </row>
    <row r="54" spans="1:7" x14ac:dyDescent="0.25">
      <c r="A54" s="1">
        <v>45627</v>
      </c>
      <c r="B54" t="s">
        <v>517</v>
      </c>
      <c r="C54" t="s">
        <v>518</v>
      </c>
      <c r="D54" t="s">
        <v>519</v>
      </c>
      <c r="E54" t="s">
        <v>520</v>
      </c>
      <c r="F54" t="s">
        <v>521</v>
      </c>
      <c r="G54" t="s">
        <v>522</v>
      </c>
    </row>
    <row r="55" spans="1:7" x14ac:dyDescent="0.25">
      <c r="A55" s="1">
        <v>45620</v>
      </c>
      <c r="B55" t="s">
        <v>523</v>
      </c>
      <c r="C55" t="s">
        <v>524</v>
      </c>
      <c r="D55" t="s">
        <v>524</v>
      </c>
      <c r="E55" t="s">
        <v>525</v>
      </c>
      <c r="F55" t="s">
        <v>526</v>
      </c>
      <c r="G55" t="s">
        <v>527</v>
      </c>
    </row>
    <row r="56" spans="1:7" x14ac:dyDescent="0.25">
      <c r="A56" s="1">
        <v>45613</v>
      </c>
      <c r="B56" t="s">
        <v>528</v>
      </c>
      <c r="C56" t="s">
        <v>529</v>
      </c>
      <c r="D56" t="s">
        <v>530</v>
      </c>
      <c r="E56" t="s">
        <v>529</v>
      </c>
      <c r="F56" t="s">
        <v>531</v>
      </c>
      <c r="G56" t="s">
        <v>532</v>
      </c>
    </row>
    <row r="57" spans="1:7" x14ac:dyDescent="0.25">
      <c r="A57" s="1">
        <v>45606</v>
      </c>
      <c r="B57" t="s">
        <v>533</v>
      </c>
      <c r="C57" t="s">
        <v>534</v>
      </c>
      <c r="D57" t="s">
        <v>519</v>
      </c>
      <c r="E57" t="s">
        <v>535</v>
      </c>
      <c r="F57" t="s">
        <v>536</v>
      </c>
      <c r="G57" t="s">
        <v>537</v>
      </c>
    </row>
    <row r="58" spans="1:7" x14ac:dyDescent="0.25">
      <c r="A58" s="1">
        <v>45599</v>
      </c>
      <c r="B58" t="s">
        <v>519</v>
      </c>
      <c r="C58" t="s">
        <v>538</v>
      </c>
      <c r="D58" t="s">
        <v>539</v>
      </c>
      <c r="E58" t="s">
        <v>540</v>
      </c>
      <c r="F58" t="s">
        <v>541</v>
      </c>
      <c r="G58" t="s">
        <v>542</v>
      </c>
    </row>
    <row r="59" spans="1:7" x14ac:dyDescent="0.25">
      <c r="A59" s="1">
        <v>45592</v>
      </c>
      <c r="B59" t="s">
        <v>543</v>
      </c>
      <c r="C59" t="s">
        <v>544</v>
      </c>
      <c r="D59" t="s">
        <v>545</v>
      </c>
      <c r="E59" t="s">
        <v>519</v>
      </c>
      <c r="F59" t="s">
        <v>546</v>
      </c>
      <c r="G59" t="s">
        <v>547</v>
      </c>
    </row>
    <row r="60" spans="1:7" x14ac:dyDescent="0.25">
      <c r="A60" s="1">
        <v>45585</v>
      </c>
      <c r="B60" t="s">
        <v>548</v>
      </c>
      <c r="C60" t="s">
        <v>549</v>
      </c>
      <c r="D60" t="s">
        <v>550</v>
      </c>
      <c r="E60" t="s">
        <v>551</v>
      </c>
      <c r="F60" t="s">
        <v>552</v>
      </c>
      <c r="G60" t="s">
        <v>553</v>
      </c>
    </row>
    <row r="61" spans="1:7" x14ac:dyDescent="0.25">
      <c r="A61" s="1">
        <v>45578</v>
      </c>
      <c r="B61" t="s">
        <v>554</v>
      </c>
      <c r="C61" t="s">
        <v>555</v>
      </c>
      <c r="D61" t="s">
        <v>554</v>
      </c>
      <c r="E61" t="s">
        <v>556</v>
      </c>
      <c r="F61" t="s">
        <v>557</v>
      </c>
      <c r="G61" t="s">
        <v>558</v>
      </c>
    </row>
    <row r="62" spans="1:7" x14ac:dyDescent="0.25">
      <c r="A62" s="1">
        <v>45571</v>
      </c>
      <c r="B62" t="s">
        <v>555</v>
      </c>
      <c r="C62" t="s">
        <v>498</v>
      </c>
      <c r="D62" t="s">
        <v>559</v>
      </c>
      <c r="E62" t="s">
        <v>560</v>
      </c>
      <c r="F62" t="s">
        <v>561</v>
      </c>
      <c r="G62" t="s">
        <v>562</v>
      </c>
    </row>
    <row r="63" spans="1:7" x14ac:dyDescent="0.25">
      <c r="A63" s="1">
        <v>45564</v>
      </c>
      <c r="B63" t="s">
        <v>563</v>
      </c>
      <c r="C63" t="s">
        <v>564</v>
      </c>
      <c r="D63" t="s">
        <v>565</v>
      </c>
      <c r="E63" t="s">
        <v>566</v>
      </c>
      <c r="F63" t="s">
        <v>567</v>
      </c>
      <c r="G63" t="s">
        <v>568</v>
      </c>
    </row>
    <row r="64" spans="1:7" x14ac:dyDescent="0.25">
      <c r="A64" s="1">
        <v>45557</v>
      </c>
      <c r="B64" t="s">
        <v>569</v>
      </c>
      <c r="C64" t="s">
        <v>570</v>
      </c>
      <c r="D64" t="s">
        <v>571</v>
      </c>
      <c r="E64" t="s">
        <v>572</v>
      </c>
      <c r="F64" t="s">
        <v>573</v>
      </c>
      <c r="G64" t="s">
        <v>574</v>
      </c>
    </row>
    <row r="65" spans="1:7" x14ac:dyDescent="0.25">
      <c r="A65" s="1">
        <v>45550</v>
      </c>
      <c r="B65" t="s">
        <v>575</v>
      </c>
      <c r="C65" t="s">
        <v>576</v>
      </c>
      <c r="D65" t="s">
        <v>577</v>
      </c>
      <c r="E65" t="s">
        <v>540</v>
      </c>
      <c r="F65" t="s">
        <v>578</v>
      </c>
      <c r="G65" t="s">
        <v>579</v>
      </c>
    </row>
    <row r="66" spans="1:7" x14ac:dyDescent="0.25">
      <c r="A66" s="1">
        <v>45543</v>
      </c>
      <c r="B66" t="s">
        <v>580</v>
      </c>
      <c r="C66" t="s">
        <v>581</v>
      </c>
      <c r="D66" t="s">
        <v>572</v>
      </c>
      <c r="E66" t="s">
        <v>582</v>
      </c>
      <c r="F66" t="s">
        <v>583</v>
      </c>
      <c r="G66" t="s">
        <v>584</v>
      </c>
    </row>
    <row r="67" spans="1:7" x14ac:dyDescent="0.25">
      <c r="A67" s="1">
        <v>45536</v>
      </c>
      <c r="B67" t="s">
        <v>585</v>
      </c>
      <c r="C67" t="s">
        <v>586</v>
      </c>
      <c r="D67" t="s">
        <v>587</v>
      </c>
      <c r="E67" t="s">
        <v>588</v>
      </c>
      <c r="F67" t="s">
        <v>589</v>
      </c>
      <c r="G67" t="s">
        <v>590</v>
      </c>
    </row>
    <row r="68" spans="1:7" x14ac:dyDescent="0.25">
      <c r="A68" s="1">
        <v>45529</v>
      </c>
      <c r="B68" t="s">
        <v>591</v>
      </c>
      <c r="C68" t="s">
        <v>592</v>
      </c>
      <c r="D68" t="s">
        <v>593</v>
      </c>
      <c r="E68" t="s">
        <v>594</v>
      </c>
      <c r="G68" t="s">
        <v>595</v>
      </c>
    </row>
    <row r="69" spans="1:7" x14ac:dyDescent="0.25">
      <c r="A69" s="1">
        <v>45522</v>
      </c>
      <c r="B69" t="s">
        <v>592</v>
      </c>
      <c r="C69" t="s">
        <v>596</v>
      </c>
      <c r="D69" t="s">
        <v>597</v>
      </c>
      <c r="E69" t="s">
        <v>586</v>
      </c>
      <c r="F69" t="s">
        <v>598</v>
      </c>
      <c r="G69" t="s">
        <v>599</v>
      </c>
    </row>
    <row r="70" spans="1:7" x14ac:dyDescent="0.25">
      <c r="A70" s="1">
        <v>45515</v>
      </c>
      <c r="B70" t="s">
        <v>600</v>
      </c>
      <c r="C70" t="s">
        <v>601</v>
      </c>
      <c r="D70" t="s">
        <v>602</v>
      </c>
      <c r="E70" t="s">
        <v>603</v>
      </c>
      <c r="F70" t="s">
        <v>604</v>
      </c>
      <c r="G70" t="s">
        <v>605</v>
      </c>
    </row>
    <row r="71" spans="1:7" x14ac:dyDescent="0.25">
      <c r="A71" s="1">
        <v>45508</v>
      </c>
      <c r="B71" t="s">
        <v>606</v>
      </c>
      <c r="C71" t="s">
        <v>607</v>
      </c>
      <c r="D71" t="s">
        <v>608</v>
      </c>
      <c r="E71" t="s">
        <v>609</v>
      </c>
      <c r="F71" t="s">
        <v>610</v>
      </c>
      <c r="G71" t="s">
        <v>611</v>
      </c>
    </row>
    <row r="72" spans="1:7" x14ac:dyDescent="0.25">
      <c r="A72" s="1">
        <v>45501</v>
      </c>
      <c r="B72" t="s">
        <v>612</v>
      </c>
      <c r="C72" t="s">
        <v>613</v>
      </c>
      <c r="D72" t="s">
        <v>614</v>
      </c>
      <c r="E72" t="s">
        <v>615</v>
      </c>
      <c r="F72" t="s">
        <v>616</v>
      </c>
      <c r="G72" t="s">
        <v>617</v>
      </c>
    </row>
    <row r="73" spans="1:7" x14ac:dyDescent="0.25">
      <c r="A73" s="1">
        <v>45494</v>
      </c>
      <c r="B73" t="s">
        <v>618</v>
      </c>
      <c r="C73" t="s">
        <v>497</v>
      </c>
      <c r="D73" t="s">
        <v>619</v>
      </c>
      <c r="E73" t="s">
        <v>620</v>
      </c>
      <c r="F73" t="s">
        <v>621</v>
      </c>
      <c r="G73" t="s">
        <v>622</v>
      </c>
    </row>
    <row r="74" spans="1:7" x14ac:dyDescent="0.25">
      <c r="A74" s="1">
        <v>45487</v>
      </c>
      <c r="B74" t="s">
        <v>623</v>
      </c>
      <c r="C74" t="s">
        <v>624</v>
      </c>
      <c r="D74" t="s">
        <v>625</v>
      </c>
      <c r="E74" t="s">
        <v>626</v>
      </c>
      <c r="F74" t="s">
        <v>627</v>
      </c>
      <c r="G74" t="s">
        <v>628</v>
      </c>
    </row>
    <row r="75" spans="1:7" x14ac:dyDescent="0.25">
      <c r="A75" s="1">
        <v>45480</v>
      </c>
      <c r="B75" t="s">
        <v>629</v>
      </c>
      <c r="C75" t="s">
        <v>630</v>
      </c>
      <c r="D75" t="s">
        <v>631</v>
      </c>
      <c r="E75" t="s">
        <v>632</v>
      </c>
      <c r="F75" t="s">
        <v>633</v>
      </c>
      <c r="G75" t="s">
        <v>634</v>
      </c>
    </row>
    <row r="76" spans="1:7" x14ac:dyDescent="0.25">
      <c r="A76" s="1">
        <v>45473</v>
      </c>
      <c r="B76" t="s">
        <v>635</v>
      </c>
      <c r="C76" t="s">
        <v>636</v>
      </c>
      <c r="D76" t="s">
        <v>635</v>
      </c>
      <c r="E76" t="s">
        <v>637</v>
      </c>
      <c r="F76" t="s">
        <v>638</v>
      </c>
      <c r="G76" t="s">
        <v>639</v>
      </c>
    </row>
    <row r="77" spans="1:7" x14ac:dyDescent="0.25">
      <c r="A77" s="1">
        <v>45466</v>
      </c>
      <c r="B77" t="s">
        <v>640</v>
      </c>
      <c r="C77" t="s">
        <v>641</v>
      </c>
      <c r="D77" t="s">
        <v>642</v>
      </c>
      <c r="E77" t="s">
        <v>643</v>
      </c>
      <c r="F77" t="s">
        <v>644</v>
      </c>
      <c r="G77" t="s">
        <v>645</v>
      </c>
    </row>
    <row r="78" spans="1:7" x14ac:dyDescent="0.25">
      <c r="A78" s="1">
        <v>45459</v>
      </c>
      <c r="B78" t="s">
        <v>641</v>
      </c>
      <c r="C78" t="s">
        <v>646</v>
      </c>
      <c r="D78" t="s">
        <v>647</v>
      </c>
      <c r="E78" t="s">
        <v>648</v>
      </c>
      <c r="F78" t="s">
        <v>649</v>
      </c>
      <c r="G78" t="s">
        <v>650</v>
      </c>
    </row>
    <row r="79" spans="1:7" x14ac:dyDescent="0.25">
      <c r="A79" s="1">
        <v>45452</v>
      </c>
      <c r="B79" t="s">
        <v>651</v>
      </c>
      <c r="C79" t="s">
        <v>652</v>
      </c>
      <c r="D79" t="s">
        <v>653</v>
      </c>
      <c r="E79" t="s">
        <v>654</v>
      </c>
      <c r="F79" t="s">
        <v>655</v>
      </c>
      <c r="G79" t="s">
        <v>656</v>
      </c>
    </row>
    <row r="80" spans="1:7" x14ac:dyDescent="0.25">
      <c r="A80" s="1">
        <v>45445</v>
      </c>
      <c r="B80" t="s">
        <v>657</v>
      </c>
      <c r="C80" t="s">
        <v>658</v>
      </c>
      <c r="D80" t="s">
        <v>659</v>
      </c>
      <c r="E80" t="s">
        <v>657</v>
      </c>
      <c r="F80" t="s">
        <v>660</v>
      </c>
      <c r="G80" t="s">
        <v>661</v>
      </c>
    </row>
    <row r="81" spans="1:7" x14ac:dyDescent="0.25">
      <c r="A81" s="1">
        <v>45438</v>
      </c>
      <c r="B81" t="s">
        <v>662</v>
      </c>
      <c r="C81" t="s">
        <v>663</v>
      </c>
      <c r="D81" t="s">
        <v>664</v>
      </c>
      <c r="E81" t="s">
        <v>665</v>
      </c>
      <c r="F81" t="s">
        <v>666</v>
      </c>
      <c r="G81" t="s">
        <v>667</v>
      </c>
    </row>
    <row r="82" spans="1:7" x14ac:dyDescent="0.25">
      <c r="A82" s="1">
        <v>45431</v>
      </c>
      <c r="B82" t="s">
        <v>668</v>
      </c>
      <c r="C82" t="s">
        <v>669</v>
      </c>
      <c r="D82" t="s">
        <v>670</v>
      </c>
      <c r="E82" t="s">
        <v>671</v>
      </c>
      <c r="F82" t="s">
        <v>672</v>
      </c>
      <c r="G82" t="s">
        <v>673</v>
      </c>
    </row>
    <row r="83" spans="1:7" x14ac:dyDescent="0.25">
      <c r="A83" s="1">
        <v>45424</v>
      </c>
      <c r="B83" t="s">
        <v>674</v>
      </c>
      <c r="C83" t="s">
        <v>675</v>
      </c>
      <c r="D83" t="s">
        <v>674</v>
      </c>
      <c r="E83" t="s">
        <v>676</v>
      </c>
      <c r="F83" t="s">
        <v>677</v>
      </c>
      <c r="G83" t="s">
        <v>678</v>
      </c>
    </row>
    <row r="84" spans="1:7" x14ac:dyDescent="0.25">
      <c r="A84" s="1">
        <v>45417</v>
      </c>
      <c r="B84" t="s">
        <v>679</v>
      </c>
      <c r="C84" t="s">
        <v>680</v>
      </c>
      <c r="D84" t="s">
        <v>681</v>
      </c>
      <c r="E84" t="s">
        <v>682</v>
      </c>
      <c r="F84" t="s">
        <v>683</v>
      </c>
      <c r="G84" t="s">
        <v>684</v>
      </c>
    </row>
    <row r="85" spans="1:7" x14ac:dyDescent="0.25">
      <c r="A85" s="1">
        <v>45410</v>
      </c>
      <c r="B85" t="s">
        <v>685</v>
      </c>
      <c r="C85" t="s">
        <v>686</v>
      </c>
      <c r="D85" t="s">
        <v>687</v>
      </c>
      <c r="E85" t="s">
        <v>688</v>
      </c>
      <c r="F85" t="s">
        <v>689</v>
      </c>
      <c r="G85" t="s">
        <v>690</v>
      </c>
    </row>
    <row r="86" spans="1:7" x14ac:dyDescent="0.25">
      <c r="A86" s="1">
        <v>45403</v>
      </c>
      <c r="B86" t="s">
        <v>691</v>
      </c>
      <c r="C86" t="s">
        <v>692</v>
      </c>
      <c r="D86" t="s">
        <v>693</v>
      </c>
      <c r="E86" t="s">
        <v>694</v>
      </c>
      <c r="F86" t="s">
        <v>695</v>
      </c>
      <c r="G86" t="s">
        <v>696</v>
      </c>
    </row>
    <row r="87" spans="1:7" x14ac:dyDescent="0.25">
      <c r="A87" s="1">
        <v>45396</v>
      </c>
      <c r="B87" t="s">
        <v>697</v>
      </c>
      <c r="C87" t="s">
        <v>698</v>
      </c>
      <c r="D87" t="s">
        <v>698</v>
      </c>
      <c r="E87" t="s">
        <v>699</v>
      </c>
      <c r="F87" t="s">
        <v>700</v>
      </c>
      <c r="G87" t="s">
        <v>701</v>
      </c>
    </row>
    <row r="88" spans="1:7" x14ac:dyDescent="0.25">
      <c r="A88" s="1">
        <v>45389</v>
      </c>
      <c r="B88" t="s">
        <v>702</v>
      </c>
      <c r="C88" t="s">
        <v>680</v>
      </c>
      <c r="D88" t="s">
        <v>703</v>
      </c>
      <c r="E88" t="s">
        <v>704</v>
      </c>
      <c r="F88" t="s">
        <v>705</v>
      </c>
      <c r="G88" t="s">
        <v>706</v>
      </c>
    </row>
    <row r="89" spans="1:7" x14ac:dyDescent="0.25">
      <c r="A89" s="1">
        <v>45382</v>
      </c>
      <c r="B89" t="s">
        <v>707</v>
      </c>
      <c r="C89" t="s">
        <v>708</v>
      </c>
      <c r="D89" t="s">
        <v>709</v>
      </c>
      <c r="E89" t="s">
        <v>710</v>
      </c>
      <c r="F89" t="s">
        <v>711</v>
      </c>
      <c r="G89" t="s">
        <v>712</v>
      </c>
    </row>
    <row r="90" spans="1:7" x14ac:dyDescent="0.25">
      <c r="A90" s="1">
        <v>45375</v>
      </c>
      <c r="B90" t="s">
        <v>713</v>
      </c>
      <c r="C90" t="s">
        <v>714</v>
      </c>
      <c r="D90" t="s">
        <v>715</v>
      </c>
      <c r="E90" t="s">
        <v>714</v>
      </c>
      <c r="F90" t="s">
        <v>716</v>
      </c>
      <c r="G90" t="s">
        <v>717</v>
      </c>
    </row>
    <row r="91" spans="1:7" x14ac:dyDescent="0.25">
      <c r="A91" s="1">
        <v>45368</v>
      </c>
      <c r="B91" t="s">
        <v>718</v>
      </c>
      <c r="C91" t="s">
        <v>719</v>
      </c>
      <c r="D91" t="s">
        <v>720</v>
      </c>
      <c r="E91" t="s">
        <v>721</v>
      </c>
      <c r="F91" t="s">
        <v>722</v>
      </c>
      <c r="G91" t="s">
        <v>723</v>
      </c>
    </row>
    <row r="92" spans="1:7" x14ac:dyDescent="0.25">
      <c r="A92" s="1">
        <v>45361</v>
      </c>
      <c r="B92" t="s">
        <v>724</v>
      </c>
      <c r="C92" t="s">
        <v>725</v>
      </c>
      <c r="D92" t="s">
        <v>726</v>
      </c>
      <c r="E92" t="s">
        <v>727</v>
      </c>
      <c r="F92" t="s">
        <v>728</v>
      </c>
      <c r="G92" t="s">
        <v>729</v>
      </c>
    </row>
    <row r="93" spans="1:7" x14ac:dyDescent="0.25">
      <c r="A93" s="1">
        <v>45354</v>
      </c>
      <c r="B93" t="s">
        <v>725</v>
      </c>
      <c r="C93" t="s">
        <v>730</v>
      </c>
      <c r="D93" t="s">
        <v>731</v>
      </c>
      <c r="E93" t="s">
        <v>732</v>
      </c>
      <c r="F93" t="s">
        <v>733</v>
      </c>
      <c r="G93" t="s">
        <v>734</v>
      </c>
    </row>
    <row r="94" spans="1:7" x14ac:dyDescent="0.25">
      <c r="A94" s="1">
        <v>45347</v>
      </c>
      <c r="B94" t="s">
        <v>735</v>
      </c>
      <c r="C94" t="s">
        <v>736</v>
      </c>
      <c r="D94" t="s">
        <v>735</v>
      </c>
      <c r="E94" t="s">
        <v>737</v>
      </c>
      <c r="F94" t="s">
        <v>738</v>
      </c>
      <c r="G94" t="s">
        <v>739</v>
      </c>
    </row>
    <row r="95" spans="1:7" x14ac:dyDescent="0.25">
      <c r="A95" s="1">
        <v>45340</v>
      </c>
      <c r="B95" t="s">
        <v>740</v>
      </c>
      <c r="C95" t="s">
        <v>741</v>
      </c>
      <c r="D95" t="s">
        <v>742</v>
      </c>
      <c r="E95" t="s">
        <v>743</v>
      </c>
      <c r="F95" t="s">
        <v>744</v>
      </c>
      <c r="G95" t="s">
        <v>745</v>
      </c>
    </row>
    <row r="96" spans="1:7" x14ac:dyDescent="0.25">
      <c r="A96" s="1">
        <v>45333</v>
      </c>
      <c r="B96" t="s">
        <v>746</v>
      </c>
      <c r="C96" t="s">
        <v>747</v>
      </c>
      <c r="D96" t="s">
        <v>742</v>
      </c>
      <c r="E96" t="s">
        <v>748</v>
      </c>
      <c r="F96" t="s">
        <v>749</v>
      </c>
      <c r="G96" t="s">
        <v>750</v>
      </c>
    </row>
    <row r="97" spans="1:7" x14ac:dyDescent="0.25">
      <c r="A97" s="1">
        <v>45326</v>
      </c>
      <c r="B97" t="s">
        <v>751</v>
      </c>
      <c r="C97" t="s">
        <v>732</v>
      </c>
      <c r="D97" t="s">
        <v>752</v>
      </c>
      <c r="E97" t="s">
        <v>753</v>
      </c>
      <c r="F97" t="s">
        <v>754</v>
      </c>
      <c r="G97" t="s">
        <v>755</v>
      </c>
    </row>
    <row r="98" spans="1:7" x14ac:dyDescent="0.25">
      <c r="A98" s="1">
        <v>45319</v>
      </c>
      <c r="B98" t="s">
        <v>756</v>
      </c>
      <c r="C98" t="s">
        <v>757</v>
      </c>
      <c r="D98" t="s">
        <v>758</v>
      </c>
      <c r="E98" t="s">
        <v>759</v>
      </c>
      <c r="F98" t="s">
        <v>760</v>
      </c>
      <c r="G98" t="s">
        <v>761</v>
      </c>
    </row>
    <row r="99" spans="1:7" x14ac:dyDescent="0.25">
      <c r="A99" s="1">
        <v>45312</v>
      </c>
      <c r="B99" t="s">
        <v>762</v>
      </c>
      <c r="C99" t="s">
        <v>763</v>
      </c>
      <c r="D99" t="s">
        <v>764</v>
      </c>
      <c r="E99" t="s">
        <v>763</v>
      </c>
      <c r="F99" t="s">
        <v>765</v>
      </c>
      <c r="G99" t="s">
        <v>766</v>
      </c>
    </row>
    <row r="100" spans="1:7" x14ac:dyDescent="0.25">
      <c r="A100" s="1">
        <v>45305</v>
      </c>
      <c r="B100" t="s">
        <v>767</v>
      </c>
      <c r="C100" t="s">
        <v>768</v>
      </c>
      <c r="D100" t="s">
        <v>768</v>
      </c>
      <c r="E100" t="s">
        <v>767</v>
      </c>
      <c r="F100" t="s">
        <v>769</v>
      </c>
      <c r="G100" t="s">
        <v>770</v>
      </c>
    </row>
    <row r="101" spans="1:7" x14ac:dyDescent="0.25">
      <c r="A101" s="1">
        <v>45298</v>
      </c>
      <c r="B101" t="s">
        <v>771</v>
      </c>
      <c r="C101" t="s">
        <v>772</v>
      </c>
      <c r="D101" t="s">
        <v>758</v>
      </c>
      <c r="E101" t="s">
        <v>773</v>
      </c>
      <c r="F101" t="s">
        <v>774</v>
      </c>
      <c r="G101" t="s">
        <v>775</v>
      </c>
    </row>
    <row r="102" spans="1:7" x14ac:dyDescent="0.25">
      <c r="A102" s="1">
        <v>45291</v>
      </c>
      <c r="B102" t="s">
        <v>776</v>
      </c>
      <c r="C102" t="s">
        <v>777</v>
      </c>
      <c r="D102" t="s">
        <v>778</v>
      </c>
      <c r="E102" t="s">
        <v>779</v>
      </c>
      <c r="F102" t="s">
        <v>780</v>
      </c>
      <c r="G102" t="s">
        <v>781</v>
      </c>
    </row>
    <row r="103" spans="1:7" x14ac:dyDescent="0.25">
      <c r="A103" s="1">
        <v>45284</v>
      </c>
      <c r="B103" t="s">
        <v>777</v>
      </c>
      <c r="C103" t="s">
        <v>782</v>
      </c>
      <c r="D103" t="s">
        <v>783</v>
      </c>
      <c r="E103" t="s">
        <v>784</v>
      </c>
      <c r="F103" t="s">
        <v>785</v>
      </c>
      <c r="G103" t="s">
        <v>786</v>
      </c>
    </row>
    <row r="104" spans="1:7" x14ac:dyDescent="0.25">
      <c r="A104" s="1">
        <v>45277</v>
      </c>
      <c r="B104" t="s">
        <v>787</v>
      </c>
      <c r="C104" t="s">
        <v>788</v>
      </c>
      <c r="D104" t="s">
        <v>789</v>
      </c>
      <c r="E104" t="s">
        <v>718</v>
      </c>
      <c r="F104" t="s">
        <v>790</v>
      </c>
      <c r="G104" t="s">
        <v>791</v>
      </c>
    </row>
    <row r="105" spans="1:7" x14ac:dyDescent="0.25">
      <c r="A105" s="1">
        <v>45270</v>
      </c>
      <c r="B105" t="s">
        <v>778</v>
      </c>
      <c r="C105" t="s">
        <v>792</v>
      </c>
      <c r="D105" t="s">
        <v>793</v>
      </c>
      <c r="E105" t="s">
        <v>794</v>
      </c>
      <c r="F105" t="s">
        <v>655</v>
      </c>
      <c r="G105" t="s">
        <v>795</v>
      </c>
    </row>
    <row r="106" spans="1:7" x14ac:dyDescent="0.25">
      <c r="A106" s="1">
        <v>45263</v>
      </c>
      <c r="B106" t="s">
        <v>796</v>
      </c>
      <c r="C106" t="s">
        <v>797</v>
      </c>
      <c r="D106" t="s">
        <v>798</v>
      </c>
      <c r="E106" t="s">
        <v>799</v>
      </c>
      <c r="F106" t="s">
        <v>800</v>
      </c>
      <c r="G106" t="s">
        <v>801</v>
      </c>
    </row>
    <row r="107" spans="1:7" x14ac:dyDescent="0.25">
      <c r="A107" s="1">
        <v>45256</v>
      </c>
      <c r="B107" t="s">
        <v>802</v>
      </c>
      <c r="C107" t="s">
        <v>762</v>
      </c>
      <c r="D107" t="s">
        <v>803</v>
      </c>
      <c r="E107" t="s">
        <v>762</v>
      </c>
      <c r="F107" t="s">
        <v>804</v>
      </c>
      <c r="G107" t="s">
        <v>805</v>
      </c>
    </row>
    <row r="108" spans="1:7" x14ac:dyDescent="0.25">
      <c r="A108" s="1">
        <v>45249</v>
      </c>
      <c r="B108" t="s">
        <v>806</v>
      </c>
      <c r="C108" t="s">
        <v>807</v>
      </c>
      <c r="D108" t="s">
        <v>808</v>
      </c>
      <c r="E108" t="s">
        <v>809</v>
      </c>
      <c r="F108" t="s">
        <v>810</v>
      </c>
      <c r="G108" t="s">
        <v>811</v>
      </c>
    </row>
    <row r="109" spans="1:7" x14ac:dyDescent="0.25">
      <c r="A109" s="1">
        <v>45242</v>
      </c>
      <c r="B109" t="s">
        <v>812</v>
      </c>
      <c r="C109" t="s">
        <v>813</v>
      </c>
      <c r="D109" t="s">
        <v>814</v>
      </c>
      <c r="E109" t="s">
        <v>815</v>
      </c>
      <c r="F109" t="s">
        <v>816</v>
      </c>
      <c r="G109" t="s">
        <v>817</v>
      </c>
    </row>
    <row r="110" spans="1:7" x14ac:dyDescent="0.25">
      <c r="A110" s="1">
        <v>45235</v>
      </c>
      <c r="B110" t="s">
        <v>818</v>
      </c>
      <c r="C110" t="s">
        <v>819</v>
      </c>
      <c r="D110" t="s">
        <v>819</v>
      </c>
      <c r="E110" t="s">
        <v>818</v>
      </c>
      <c r="F110" t="s">
        <v>820</v>
      </c>
      <c r="G110" t="s">
        <v>821</v>
      </c>
    </row>
    <row r="111" spans="1:7" x14ac:dyDescent="0.25">
      <c r="A111" s="1">
        <v>45228</v>
      </c>
      <c r="B111" t="s">
        <v>822</v>
      </c>
      <c r="C111" t="s">
        <v>823</v>
      </c>
      <c r="D111" t="s">
        <v>822</v>
      </c>
      <c r="E111" t="s">
        <v>824</v>
      </c>
      <c r="F111" t="s">
        <v>825</v>
      </c>
      <c r="G111" t="s">
        <v>826</v>
      </c>
    </row>
    <row r="112" spans="1:7" x14ac:dyDescent="0.25">
      <c r="A112" s="1">
        <v>45221</v>
      </c>
      <c r="B112" t="s">
        <v>827</v>
      </c>
      <c r="C112" t="s">
        <v>828</v>
      </c>
      <c r="D112" t="s">
        <v>829</v>
      </c>
      <c r="E112" t="s">
        <v>830</v>
      </c>
      <c r="F112" t="s">
        <v>831</v>
      </c>
      <c r="G112" t="s">
        <v>832</v>
      </c>
    </row>
    <row r="113" spans="1:7" x14ac:dyDescent="0.25">
      <c r="A113" s="1">
        <v>45214</v>
      </c>
      <c r="B113" t="s">
        <v>833</v>
      </c>
      <c r="C113" t="s">
        <v>772</v>
      </c>
      <c r="D113" t="s">
        <v>834</v>
      </c>
      <c r="E113" t="s">
        <v>835</v>
      </c>
      <c r="F113" t="s">
        <v>836</v>
      </c>
      <c r="G113" t="s">
        <v>837</v>
      </c>
    </row>
    <row r="114" spans="1:7" x14ac:dyDescent="0.25">
      <c r="A114" s="1">
        <v>45207</v>
      </c>
      <c r="B114" t="s">
        <v>838</v>
      </c>
      <c r="C114" t="s">
        <v>839</v>
      </c>
      <c r="D114" t="s">
        <v>838</v>
      </c>
      <c r="E114" t="s">
        <v>839</v>
      </c>
      <c r="F114" t="s">
        <v>840</v>
      </c>
      <c r="G114" t="s">
        <v>841</v>
      </c>
    </row>
    <row r="115" spans="1:7" x14ac:dyDescent="0.25">
      <c r="A115" s="1">
        <v>45200</v>
      </c>
      <c r="B115" t="s">
        <v>842</v>
      </c>
      <c r="C115" t="s">
        <v>843</v>
      </c>
      <c r="D115" t="s">
        <v>842</v>
      </c>
      <c r="E115" t="s">
        <v>844</v>
      </c>
      <c r="F115" t="s">
        <v>845</v>
      </c>
      <c r="G115" t="s">
        <v>562</v>
      </c>
    </row>
    <row r="116" spans="1:7" x14ac:dyDescent="0.25">
      <c r="A116" s="1">
        <v>45193</v>
      </c>
      <c r="B116" t="s">
        <v>846</v>
      </c>
      <c r="C116" t="s">
        <v>847</v>
      </c>
      <c r="D116" t="s">
        <v>848</v>
      </c>
      <c r="E116" t="s">
        <v>849</v>
      </c>
      <c r="F116" t="s">
        <v>850</v>
      </c>
      <c r="G116" t="s">
        <v>851</v>
      </c>
    </row>
    <row r="117" spans="1:7" x14ac:dyDescent="0.25">
      <c r="A117" s="1">
        <v>45186</v>
      </c>
      <c r="B117" t="s">
        <v>852</v>
      </c>
      <c r="C117" t="s">
        <v>757</v>
      </c>
      <c r="D117" t="s">
        <v>853</v>
      </c>
      <c r="E117" t="s">
        <v>854</v>
      </c>
      <c r="F117" t="s">
        <v>855</v>
      </c>
      <c r="G117" t="s">
        <v>856</v>
      </c>
    </row>
    <row r="118" spans="1:7" x14ac:dyDescent="0.25">
      <c r="A118" s="1">
        <v>45179</v>
      </c>
      <c r="B118" t="s">
        <v>857</v>
      </c>
      <c r="C118" t="s">
        <v>858</v>
      </c>
      <c r="D118" t="s">
        <v>859</v>
      </c>
      <c r="E118" t="s">
        <v>860</v>
      </c>
      <c r="F118" t="s">
        <v>861</v>
      </c>
      <c r="G118" t="s">
        <v>862</v>
      </c>
    </row>
    <row r="119" spans="1:7" x14ac:dyDescent="0.25">
      <c r="A119" s="1">
        <v>45172</v>
      </c>
      <c r="B119" t="s">
        <v>863</v>
      </c>
      <c r="C119" t="s">
        <v>864</v>
      </c>
      <c r="D119" t="s">
        <v>865</v>
      </c>
      <c r="E119" t="s">
        <v>866</v>
      </c>
      <c r="F119" t="s">
        <v>867</v>
      </c>
      <c r="G119" t="s">
        <v>868</v>
      </c>
    </row>
    <row r="120" spans="1:7" x14ac:dyDescent="0.25">
      <c r="A120" s="1">
        <v>45165</v>
      </c>
      <c r="B120" t="s">
        <v>869</v>
      </c>
      <c r="C120" t="s">
        <v>767</v>
      </c>
      <c r="D120" t="s">
        <v>870</v>
      </c>
      <c r="E120" t="s">
        <v>871</v>
      </c>
      <c r="F120" t="s">
        <v>872</v>
      </c>
      <c r="G120" t="s">
        <v>873</v>
      </c>
    </row>
    <row r="121" spans="1:7" x14ac:dyDescent="0.25">
      <c r="A121" s="1">
        <v>45158</v>
      </c>
      <c r="B121" t="s">
        <v>874</v>
      </c>
      <c r="C121" t="s">
        <v>875</v>
      </c>
      <c r="D121" t="s">
        <v>876</v>
      </c>
      <c r="E121" t="s">
        <v>877</v>
      </c>
      <c r="F121" t="s">
        <v>878</v>
      </c>
      <c r="G121" t="s">
        <v>879</v>
      </c>
    </row>
    <row r="122" spans="1:7" x14ac:dyDescent="0.25">
      <c r="A122" s="1">
        <v>45151</v>
      </c>
      <c r="B122" t="s">
        <v>880</v>
      </c>
      <c r="C122" t="s">
        <v>881</v>
      </c>
      <c r="D122" t="s">
        <v>876</v>
      </c>
      <c r="E122" t="s">
        <v>880</v>
      </c>
      <c r="F122" t="s">
        <v>882</v>
      </c>
      <c r="G122" t="s">
        <v>883</v>
      </c>
    </row>
    <row r="123" spans="1:7" x14ac:dyDescent="0.25">
      <c r="A123" s="1">
        <v>45144</v>
      </c>
      <c r="B123" t="s">
        <v>884</v>
      </c>
      <c r="C123" t="s">
        <v>814</v>
      </c>
      <c r="D123" t="s">
        <v>814</v>
      </c>
      <c r="E123" t="s">
        <v>885</v>
      </c>
      <c r="F123" t="s">
        <v>886</v>
      </c>
      <c r="G123" t="s">
        <v>887</v>
      </c>
    </row>
    <row r="124" spans="1:7" x14ac:dyDescent="0.25">
      <c r="A124" s="1">
        <v>45137</v>
      </c>
      <c r="B124" t="s">
        <v>888</v>
      </c>
      <c r="C124" t="s">
        <v>889</v>
      </c>
      <c r="D124" t="s">
        <v>890</v>
      </c>
      <c r="E124" t="s">
        <v>891</v>
      </c>
      <c r="F124" t="s">
        <v>892</v>
      </c>
      <c r="G124" t="s">
        <v>893</v>
      </c>
    </row>
    <row r="125" spans="1:7" x14ac:dyDescent="0.25">
      <c r="A125" s="1">
        <v>45130</v>
      </c>
      <c r="B125" t="s">
        <v>894</v>
      </c>
      <c r="C125" t="s">
        <v>895</v>
      </c>
      <c r="D125" t="s">
        <v>896</v>
      </c>
      <c r="E125" t="s">
        <v>897</v>
      </c>
      <c r="F125" t="s">
        <v>898</v>
      </c>
      <c r="G125" t="s">
        <v>899</v>
      </c>
    </row>
    <row r="126" spans="1:7" x14ac:dyDescent="0.25">
      <c r="A126" s="1">
        <v>45123</v>
      </c>
      <c r="B126" t="s">
        <v>900</v>
      </c>
      <c r="C126" t="s">
        <v>901</v>
      </c>
      <c r="D126" t="s">
        <v>803</v>
      </c>
      <c r="E126" t="s">
        <v>902</v>
      </c>
      <c r="F126" t="s">
        <v>903</v>
      </c>
      <c r="G126" t="s">
        <v>904</v>
      </c>
    </row>
    <row r="127" spans="1:7" x14ac:dyDescent="0.25">
      <c r="A127" s="1">
        <v>45116</v>
      </c>
      <c r="B127" t="s">
        <v>905</v>
      </c>
      <c r="C127" t="s">
        <v>756</v>
      </c>
      <c r="D127" t="s">
        <v>906</v>
      </c>
      <c r="E127" t="s">
        <v>852</v>
      </c>
      <c r="F127" t="s">
        <v>907</v>
      </c>
      <c r="G127" t="s">
        <v>908</v>
      </c>
    </row>
    <row r="128" spans="1:7" x14ac:dyDescent="0.25">
      <c r="A128" s="1">
        <v>45109</v>
      </c>
      <c r="B128" t="s">
        <v>909</v>
      </c>
      <c r="C128" t="s">
        <v>910</v>
      </c>
      <c r="D128" t="s">
        <v>911</v>
      </c>
      <c r="E128" t="s">
        <v>912</v>
      </c>
      <c r="F128" t="s">
        <v>913</v>
      </c>
      <c r="G128" t="s">
        <v>914</v>
      </c>
    </row>
    <row r="129" spans="1:7" x14ac:dyDescent="0.25">
      <c r="A129" s="1">
        <v>45102</v>
      </c>
      <c r="B129" t="s">
        <v>859</v>
      </c>
      <c r="C129" t="s">
        <v>915</v>
      </c>
      <c r="D129" t="s">
        <v>889</v>
      </c>
      <c r="E129" t="s">
        <v>848</v>
      </c>
      <c r="F129" t="s">
        <v>916</v>
      </c>
      <c r="G129" t="s">
        <v>917</v>
      </c>
    </row>
    <row r="130" spans="1:7" x14ac:dyDescent="0.25">
      <c r="A130" s="1">
        <v>45095</v>
      </c>
      <c r="B130" t="s">
        <v>853</v>
      </c>
      <c r="C130" t="s">
        <v>918</v>
      </c>
      <c r="D130" t="s">
        <v>919</v>
      </c>
      <c r="E130" t="s">
        <v>920</v>
      </c>
      <c r="F130" t="s">
        <v>921</v>
      </c>
      <c r="G130" t="s">
        <v>922</v>
      </c>
    </row>
    <row r="131" spans="1:7" x14ac:dyDescent="0.25">
      <c r="A131" s="1">
        <v>45088</v>
      </c>
      <c r="B131" t="s">
        <v>923</v>
      </c>
      <c r="C131" t="s">
        <v>924</v>
      </c>
      <c r="D131" t="s">
        <v>925</v>
      </c>
      <c r="E131" t="s">
        <v>926</v>
      </c>
      <c r="F131" t="s">
        <v>927</v>
      </c>
      <c r="G131" t="s">
        <v>928</v>
      </c>
    </row>
    <row r="132" spans="1:7" x14ac:dyDescent="0.25">
      <c r="A132" s="1">
        <v>45081</v>
      </c>
      <c r="B132" t="s">
        <v>929</v>
      </c>
      <c r="C132" t="s">
        <v>930</v>
      </c>
      <c r="D132" t="s">
        <v>931</v>
      </c>
      <c r="E132" t="s">
        <v>932</v>
      </c>
      <c r="F132" t="s">
        <v>933</v>
      </c>
      <c r="G132" t="s">
        <v>934</v>
      </c>
    </row>
    <row r="133" spans="1:7" x14ac:dyDescent="0.25">
      <c r="A133" s="1">
        <v>45074</v>
      </c>
      <c r="B133" t="s">
        <v>935</v>
      </c>
      <c r="C133" t="s">
        <v>900</v>
      </c>
      <c r="D133" t="s">
        <v>793</v>
      </c>
      <c r="E133" t="s">
        <v>936</v>
      </c>
      <c r="F133" t="s">
        <v>937</v>
      </c>
      <c r="G133" t="s">
        <v>938</v>
      </c>
    </row>
    <row r="134" spans="1:7" x14ac:dyDescent="0.25">
      <c r="A134" s="1">
        <v>45067</v>
      </c>
      <c r="B134" t="s">
        <v>939</v>
      </c>
      <c r="C134" t="s">
        <v>940</v>
      </c>
      <c r="D134" t="s">
        <v>941</v>
      </c>
      <c r="E134" t="s">
        <v>936</v>
      </c>
      <c r="F134" t="s">
        <v>942</v>
      </c>
      <c r="G134" t="s">
        <v>943</v>
      </c>
    </row>
    <row r="135" spans="1:7" x14ac:dyDescent="0.25">
      <c r="A135" s="1">
        <v>45060</v>
      </c>
      <c r="B135" t="s">
        <v>793</v>
      </c>
      <c r="C135" t="s">
        <v>944</v>
      </c>
      <c r="D135" t="s">
        <v>944</v>
      </c>
      <c r="E135" t="s">
        <v>945</v>
      </c>
      <c r="F135" t="s">
        <v>946</v>
      </c>
      <c r="G135" t="s">
        <v>947</v>
      </c>
    </row>
    <row r="136" spans="1:7" x14ac:dyDescent="0.25">
      <c r="A136" s="1">
        <v>45053</v>
      </c>
      <c r="B136" t="s">
        <v>948</v>
      </c>
      <c r="C136" t="s">
        <v>949</v>
      </c>
      <c r="D136" t="s">
        <v>950</v>
      </c>
      <c r="E136" t="s">
        <v>951</v>
      </c>
      <c r="F136" t="s">
        <v>952</v>
      </c>
      <c r="G136" t="s">
        <v>953</v>
      </c>
    </row>
    <row r="137" spans="1:7" x14ac:dyDescent="0.25">
      <c r="A137" s="1">
        <v>45046</v>
      </c>
      <c r="B137" t="s">
        <v>954</v>
      </c>
      <c r="C137" t="s">
        <v>955</v>
      </c>
      <c r="D137" t="s">
        <v>956</v>
      </c>
      <c r="E137" t="s">
        <v>955</v>
      </c>
      <c r="F137" t="s">
        <v>957</v>
      </c>
      <c r="G137" t="s">
        <v>958</v>
      </c>
    </row>
    <row r="138" spans="1:7" x14ac:dyDescent="0.25">
      <c r="A138" s="1">
        <v>45039</v>
      </c>
      <c r="B138" t="s">
        <v>959</v>
      </c>
      <c r="C138" t="s">
        <v>789</v>
      </c>
      <c r="D138" t="s">
        <v>960</v>
      </c>
      <c r="E138" t="s">
        <v>961</v>
      </c>
      <c r="F138" t="s">
        <v>962</v>
      </c>
      <c r="G138" t="s">
        <v>489</v>
      </c>
    </row>
    <row r="139" spans="1:7" x14ac:dyDescent="0.25">
      <c r="A139" s="1">
        <v>45032</v>
      </c>
      <c r="B139" t="s">
        <v>963</v>
      </c>
      <c r="C139" t="s">
        <v>964</v>
      </c>
      <c r="D139" t="s">
        <v>965</v>
      </c>
      <c r="E139" t="s">
        <v>963</v>
      </c>
      <c r="F139" t="s">
        <v>966</v>
      </c>
      <c r="G139" t="s">
        <v>967</v>
      </c>
    </row>
    <row r="140" spans="1:7" x14ac:dyDescent="0.25">
      <c r="A140" s="1">
        <v>45025</v>
      </c>
      <c r="B140" t="s">
        <v>968</v>
      </c>
      <c r="C140" t="s">
        <v>969</v>
      </c>
      <c r="D140" t="s">
        <v>970</v>
      </c>
      <c r="E140" t="s">
        <v>971</v>
      </c>
      <c r="F140" t="s">
        <v>972</v>
      </c>
      <c r="G140" t="s">
        <v>579</v>
      </c>
    </row>
    <row r="141" spans="1:7" x14ac:dyDescent="0.25">
      <c r="A141" s="1">
        <v>45018</v>
      </c>
      <c r="B141" t="s">
        <v>973</v>
      </c>
      <c r="C141" t="s">
        <v>974</v>
      </c>
      <c r="D141" t="s">
        <v>975</v>
      </c>
      <c r="E141" t="s">
        <v>906</v>
      </c>
      <c r="F141" t="s">
        <v>976</v>
      </c>
      <c r="G141" t="s">
        <v>977</v>
      </c>
    </row>
    <row r="142" spans="1:7" x14ac:dyDescent="0.25">
      <c r="A142" s="1">
        <v>45011</v>
      </c>
      <c r="B142" t="s">
        <v>978</v>
      </c>
      <c r="C142" t="s">
        <v>979</v>
      </c>
      <c r="D142" t="s">
        <v>940</v>
      </c>
      <c r="E142" t="s">
        <v>980</v>
      </c>
      <c r="F142" t="s">
        <v>981</v>
      </c>
      <c r="G142" t="s">
        <v>369</v>
      </c>
    </row>
    <row r="143" spans="1:7" x14ac:dyDescent="0.25">
      <c r="A143" s="1">
        <v>45004</v>
      </c>
      <c r="B143" t="s">
        <v>982</v>
      </c>
      <c r="C143" t="s">
        <v>983</v>
      </c>
      <c r="D143" t="s">
        <v>982</v>
      </c>
      <c r="E143" t="s">
        <v>984</v>
      </c>
      <c r="F143" t="s">
        <v>985</v>
      </c>
      <c r="G143" t="s">
        <v>265</v>
      </c>
    </row>
    <row r="144" spans="1:7" x14ac:dyDescent="0.25">
      <c r="A144" s="1">
        <v>44997</v>
      </c>
      <c r="B144" t="s">
        <v>986</v>
      </c>
      <c r="C144" t="s">
        <v>987</v>
      </c>
      <c r="D144" t="s">
        <v>986</v>
      </c>
      <c r="E144" t="s">
        <v>987</v>
      </c>
      <c r="F144" t="s">
        <v>988</v>
      </c>
      <c r="G144" t="s">
        <v>989</v>
      </c>
    </row>
    <row r="145" spans="1:7" x14ac:dyDescent="0.25">
      <c r="A145" s="1">
        <v>44990</v>
      </c>
      <c r="B145" t="s">
        <v>990</v>
      </c>
      <c r="C145" t="s">
        <v>991</v>
      </c>
      <c r="D145" t="s">
        <v>991</v>
      </c>
      <c r="E145" t="s">
        <v>992</v>
      </c>
      <c r="F145" t="s">
        <v>993</v>
      </c>
      <c r="G145" t="s">
        <v>673</v>
      </c>
    </row>
    <row r="146" spans="1:7" x14ac:dyDescent="0.25">
      <c r="A146" s="1">
        <v>44983</v>
      </c>
      <c r="B146" t="s">
        <v>994</v>
      </c>
      <c r="C146" t="s">
        <v>995</v>
      </c>
      <c r="D146" t="s">
        <v>996</v>
      </c>
      <c r="E146" t="s">
        <v>877</v>
      </c>
      <c r="F146" t="s">
        <v>997</v>
      </c>
      <c r="G146" t="s">
        <v>998</v>
      </c>
    </row>
    <row r="147" spans="1:7" x14ac:dyDescent="0.25">
      <c r="A147" s="1">
        <v>44976</v>
      </c>
      <c r="B147" t="s">
        <v>999</v>
      </c>
      <c r="C147" t="s">
        <v>747</v>
      </c>
      <c r="D147" t="s">
        <v>1000</v>
      </c>
      <c r="E147" t="s">
        <v>1001</v>
      </c>
      <c r="F147" t="s">
        <v>1002</v>
      </c>
      <c r="G147" t="s">
        <v>1003</v>
      </c>
    </row>
    <row r="148" spans="1:7" x14ac:dyDescent="0.25">
      <c r="A148" s="1">
        <v>44969</v>
      </c>
      <c r="B148" t="s">
        <v>1004</v>
      </c>
      <c r="C148" t="s">
        <v>1005</v>
      </c>
      <c r="D148" t="s">
        <v>1006</v>
      </c>
      <c r="E148" t="s">
        <v>1007</v>
      </c>
      <c r="F148" t="s">
        <v>1008</v>
      </c>
      <c r="G148" t="s">
        <v>1009</v>
      </c>
    </row>
    <row r="149" spans="1:7" x14ac:dyDescent="0.25">
      <c r="A149" s="1">
        <v>44962</v>
      </c>
      <c r="B149" t="s">
        <v>1010</v>
      </c>
      <c r="C149" t="s">
        <v>1011</v>
      </c>
      <c r="D149" t="s">
        <v>1012</v>
      </c>
      <c r="E149" t="s">
        <v>1013</v>
      </c>
      <c r="F149" t="s">
        <v>1014</v>
      </c>
      <c r="G149" t="s">
        <v>1015</v>
      </c>
    </row>
    <row r="150" spans="1:7" x14ac:dyDescent="0.25">
      <c r="A150" s="1">
        <v>44955</v>
      </c>
      <c r="B150" t="s">
        <v>1006</v>
      </c>
      <c r="C150" t="s">
        <v>1016</v>
      </c>
      <c r="D150" t="s">
        <v>1017</v>
      </c>
      <c r="E150" t="s">
        <v>1006</v>
      </c>
      <c r="F150" t="s">
        <v>1018</v>
      </c>
      <c r="G150" t="s">
        <v>1019</v>
      </c>
    </row>
    <row r="151" spans="1:7" x14ac:dyDescent="0.25">
      <c r="A151" s="1">
        <v>44948</v>
      </c>
      <c r="B151" t="s">
        <v>777</v>
      </c>
      <c r="C151" t="s">
        <v>1020</v>
      </c>
      <c r="D151" t="s">
        <v>1021</v>
      </c>
      <c r="E151" t="s">
        <v>1022</v>
      </c>
      <c r="F151" t="s">
        <v>988</v>
      </c>
      <c r="G151" t="s">
        <v>1023</v>
      </c>
    </row>
    <row r="152" spans="1:7" x14ac:dyDescent="0.25">
      <c r="A152" s="1">
        <v>44941</v>
      </c>
      <c r="B152" t="s">
        <v>1024</v>
      </c>
      <c r="C152" t="s">
        <v>1025</v>
      </c>
      <c r="D152" t="s">
        <v>1026</v>
      </c>
      <c r="E152" t="s">
        <v>1027</v>
      </c>
      <c r="F152" t="s">
        <v>1028</v>
      </c>
      <c r="G152" t="s">
        <v>1029</v>
      </c>
    </row>
    <row r="153" spans="1:7" x14ac:dyDescent="0.25">
      <c r="A153" s="1">
        <v>44934</v>
      </c>
      <c r="B153" t="s">
        <v>1030</v>
      </c>
      <c r="C153" t="s">
        <v>1031</v>
      </c>
      <c r="D153" t="s">
        <v>1032</v>
      </c>
      <c r="E153" t="s">
        <v>1033</v>
      </c>
      <c r="F153" t="s">
        <v>1034</v>
      </c>
      <c r="G153" t="s">
        <v>1035</v>
      </c>
    </row>
    <row r="154" spans="1:7" x14ac:dyDescent="0.25">
      <c r="A154" s="1">
        <v>44927</v>
      </c>
      <c r="B154" t="s">
        <v>1036</v>
      </c>
      <c r="C154" t="s">
        <v>1037</v>
      </c>
      <c r="D154" t="s">
        <v>1038</v>
      </c>
      <c r="E154" t="s">
        <v>1039</v>
      </c>
      <c r="F154" t="s">
        <v>1040</v>
      </c>
      <c r="G154" t="s">
        <v>1041</v>
      </c>
    </row>
    <row r="155" spans="1:7" x14ac:dyDescent="0.25">
      <c r="A155" s="1">
        <v>44920</v>
      </c>
      <c r="B155" t="s">
        <v>1042</v>
      </c>
      <c r="C155" t="s">
        <v>1043</v>
      </c>
      <c r="D155" t="s">
        <v>853</v>
      </c>
      <c r="E155" t="s">
        <v>1044</v>
      </c>
      <c r="F155" t="s">
        <v>1045</v>
      </c>
      <c r="G155" t="s">
        <v>1046</v>
      </c>
    </row>
    <row r="156" spans="1:7" x14ac:dyDescent="0.25">
      <c r="A156" s="1">
        <v>44913</v>
      </c>
      <c r="B156" t="s">
        <v>1047</v>
      </c>
      <c r="C156" t="s">
        <v>1048</v>
      </c>
      <c r="D156" t="s">
        <v>730</v>
      </c>
      <c r="E156" t="s">
        <v>736</v>
      </c>
      <c r="F156" t="s">
        <v>1049</v>
      </c>
      <c r="G156" t="s">
        <v>1050</v>
      </c>
    </row>
    <row r="157" spans="1:7" x14ac:dyDescent="0.25">
      <c r="A157" s="1">
        <v>44906</v>
      </c>
      <c r="B157" t="s">
        <v>1051</v>
      </c>
      <c r="C157" t="s">
        <v>1052</v>
      </c>
      <c r="D157" t="s">
        <v>752</v>
      </c>
      <c r="E157" t="s">
        <v>815</v>
      </c>
      <c r="F157" t="s">
        <v>1053</v>
      </c>
      <c r="G157" t="s">
        <v>1054</v>
      </c>
    </row>
    <row r="158" spans="1:7" x14ac:dyDescent="0.25">
      <c r="A158" s="1">
        <v>44899</v>
      </c>
      <c r="B158" t="s">
        <v>1055</v>
      </c>
      <c r="C158" t="s">
        <v>1056</v>
      </c>
      <c r="D158" t="s">
        <v>1055</v>
      </c>
      <c r="E158" t="s">
        <v>858</v>
      </c>
      <c r="F158" t="s">
        <v>1057</v>
      </c>
      <c r="G158" t="s">
        <v>1058</v>
      </c>
    </row>
    <row r="159" spans="1:7" x14ac:dyDescent="0.25">
      <c r="A159" s="1">
        <v>44892</v>
      </c>
      <c r="B159" t="s">
        <v>1059</v>
      </c>
      <c r="C159" t="s">
        <v>885</v>
      </c>
      <c r="D159" t="s">
        <v>808</v>
      </c>
      <c r="E159" t="s">
        <v>1060</v>
      </c>
      <c r="F159" t="s">
        <v>1061</v>
      </c>
      <c r="G159" t="s">
        <v>1062</v>
      </c>
    </row>
    <row r="160" spans="1:7" x14ac:dyDescent="0.25">
      <c r="A160" s="1">
        <v>44885</v>
      </c>
      <c r="B160" t="s">
        <v>1063</v>
      </c>
      <c r="C160" t="s">
        <v>1064</v>
      </c>
      <c r="D160" t="s">
        <v>888</v>
      </c>
      <c r="E160" t="s">
        <v>1065</v>
      </c>
      <c r="F160" t="s">
        <v>1066</v>
      </c>
      <c r="G160" t="s">
        <v>1067</v>
      </c>
    </row>
    <row r="161" spans="1:7" x14ac:dyDescent="0.25">
      <c r="A161" s="1">
        <v>44878</v>
      </c>
      <c r="B161" t="s">
        <v>1068</v>
      </c>
      <c r="C161" t="s">
        <v>1069</v>
      </c>
      <c r="D161" t="s">
        <v>1044</v>
      </c>
      <c r="E161" t="s">
        <v>1070</v>
      </c>
      <c r="F161" t="s">
        <v>1071</v>
      </c>
      <c r="G161" t="s">
        <v>1072</v>
      </c>
    </row>
    <row r="162" spans="1:7" x14ac:dyDescent="0.25">
      <c r="A162" s="1">
        <v>44871</v>
      </c>
      <c r="B162" t="s">
        <v>1073</v>
      </c>
      <c r="C162" t="s">
        <v>1074</v>
      </c>
      <c r="D162" t="s">
        <v>1075</v>
      </c>
      <c r="E162" t="s">
        <v>1074</v>
      </c>
      <c r="F162" t="s">
        <v>1076</v>
      </c>
      <c r="G162" t="s">
        <v>1077</v>
      </c>
    </row>
    <row r="163" spans="1:7" x14ac:dyDescent="0.25">
      <c r="A163" s="1">
        <v>44864</v>
      </c>
      <c r="B163" t="s">
        <v>1074</v>
      </c>
      <c r="C163" t="s">
        <v>1078</v>
      </c>
      <c r="D163" t="s">
        <v>1079</v>
      </c>
      <c r="E163" t="s">
        <v>1080</v>
      </c>
      <c r="F163" t="s">
        <v>1081</v>
      </c>
      <c r="G163" t="s">
        <v>1082</v>
      </c>
    </row>
    <row r="164" spans="1:7" x14ac:dyDescent="0.25">
      <c r="A164" s="1">
        <v>44857</v>
      </c>
      <c r="B164" t="s">
        <v>1083</v>
      </c>
      <c r="C164" t="s">
        <v>1084</v>
      </c>
      <c r="D164" t="s">
        <v>1085</v>
      </c>
      <c r="E164" t="s">
        <v>1086</v>
      </c>
      <c r="F164" t="s">
        <v>1087</v>
      </c>
      <c r="G164" t="s">
        <v>1088</v>
      </c>
    </row>
    <row r="165" spans="1:7" x14ac:dyDescent="0.25">
      <c r="A165" s="1">
        <v>44850</v>
      </c>
      <c r="B165" t="s">
        <v>1089</v>
      </c>
      <c r="C165" t="s">
        <v>1090</v>
      </c>
      <c r="D165" t="s">
        <v>1091</v>
      </c>
      <c r="E165" t="s">
        <v>1080</v>
      </c>
      <c r="F165" t="s">
        <v>1092</v>
      </c>
      <c r="G165" t="s">
        <v>1093</v>
      </c>
    </row>
    <row r="166" spans="1:7" x14ac:dyDescent="0.25">
      <c r="A166" s="1">
        <v>44843</v>
      </c>
      <c r="B166" t="s">
        <v>1094</v>
      </c>
      <c r="C166" t="s">
        <v>1095</v>
      </c>
      <c r="D166" t="s">
        <v>1096</v>
      </c>
      <c r="E166" t="s">
        <v>1094</v>
      </c>
      <c r="F166" t="s">
        <v>1097</v>
      </c>
      <c r="G166" t="s">
        <v>1098</v>
      </c>
    </row>
    <row r="167" spans="1:7" x14ac:dyDescent="0.25">
      <c r="A167" s="1">
        <v>44836</v>
      </c>
      <c r="B167" t="s">
        <v>1099</v>
      </c>
      <c r="C167" t="s">
        <v>1100</v>
      </c>
      <c r="D167" t="s">
        <v>737</v>
      </c>
      <c r="E167" t="s">
        <v>1100</v>
      </c>
      <c r="F167" t="s">
        <v>1101</v>
      </c>
      <c r="G167" t="s">
        <v>1102</v>
      </c>
    </row>
    <row r="168" spans="1:7" x14ac:dyDescent="0.25">
      <c r="A168" s="1">
        <v>44829</v>
      </c>
      <c r="B168" t="s">
        <v>1103</v>
      </c>
      <c r="C168" t="s">
        <v>1104</v>
      </c>
      <c r="D168" t="s">
        <v>1103</v>
      </c>
      <c r="E168" t="s">
        <v>1105</v>
      </c>
      <c r="F168" t="s">
        <v>1106</v>
      </c>
      <c r="G168" t="s">
        <v>1107</v>
      </c>
    </row>
    <row r="169" spans="1:7" x14ac:dyDescent="0.25">
      <c r="A169" s="1">
        <v>44822</v>
      </c>
      <c r="B169" t="s">
        <v>1108</v>
      </c>
      <c r="C169" t="s">
        <v>1109</v>
      </c>
      <c r="D169" t="s">
        <v>1110</v>
      </c>
      <c r="E169" t="s">
        <v>1108</v>
      </c>
      <c r="F169" t="s">
        <v>1111</v>
      </c>
      <c r="G169" t="s">
        <v>1112</v>
      </c>
    </row>
    <row r="170" spans="1:7" x14ac:dyDescent="0.25">
      <c r="A170" s="1">
        <v>44815</v>
      </c>
      <c r="B170" t="s">
        <v>1113</v>
      </c>
      <c r="C170" t="s">
        <v>1114</v>
      </c>
      <c r="D170" t="s">
        <v>844</v>
      </c>
      <c r="E170" t="s">
        <v>1115</v>
      </c>
      <c r="F170" t="s">
        <v>1116</v>
      </c>
      <c r="G170" t="s">
        <v>1117</v>
      </c>
    </row>
    <row r="171" spans="1:7" x14ac:dyDescent="0.25">
      <c r="A171" s="1">
        <v>44808</v>
      </c>
      <c r="B171" t="s">
        <v>1114</v>
      </c>
      <c r="C171" t="s">
        <v>1118</v>
      </c>
      <c r="D171" t="s">
        <v>1114</v>
      </c>
      <c r="E171" t="s">
        <v>1090</v>
      </c>
      <c r="F171" t="s">
        <v>1119</v>
      </c>
      <c r="G171" t="s">
        <v>277</v>
      </c>
    </row>
    <row r="172" spans="1:7" x14ac:dyDescent="0.25">
      <c r="A172" s="1">
        <v>44801</v>
      </c>
      <c r="B172" t="s">
        <v>1120</v>
      </c>
      <c r="C172" t="s">
        <v>1121</v>
      </c>
      <c r="D172" t="s">
        <v>1122</v>
      </c>
      <c r="E172" t="s">
        <v>1123</v>
      </c>
      <c r="F172" t="s">
        <v>1124</v>
      </c>
      <c r="G172" t="s">
        <v>1125</v>
      </c>
    </row>
    <row r="173" spans="1:7" x14ac:dyDescent="0.25">
      <c r="A173" s="1">
        <v>44794</v>
      </c>
      <c r="B173" t="s">
        <v>1126</v>
      </c>
      <c r="C173" t="s">
        <v>1127</v>
      </c>
      <c r="D173" t="s">
        <v>1128</v>
      </c>
      <c r="E173" t="s">
        <v>1129</v>
      </c>
      <c r="F173" t="s">
        <v>1130</v>
      </c>
      <c r="G173" t="s">
        <v>1131</v>
      </c>
    </row>
    <row r="174" spans="1:7" x14ac:dyDescent="0.25">
      <c r="A174" s="1">
        <v>44787</v>
      </c>
      <c r="B174" t="s">
        <v>1132</v>
      </c>
      <c r="C174" t="s">
        <v>1133</v>
      </c>
      <c r="D174" t="s">
        <v>1134</v>
      </c>
      <c r="E174" t="s">
        <v>1135</v>
      </c>
      <c r="F174" t="s">
        <v>861</v>
      </c>
      <c r="G174" t="s">
        <v>1136</v>
      </c>
    </row>
    <row r="175" spans="1:7" x14ac:dyDescent="0.25">
      <c r="A175" s="1">
        <v>44780</v>
      </c>
      <c r="B175" t="s">
        <v>1137</v>
      </c>
      <c r="C175" t="s">
        <v>1138</v>
      </c>
      <c r="D175" t="s">
        <v>1137</v>
      </c>
      <c r="E175" t="s">
        <v>1138</v>
      </c>
      <c r="F175" t="s">
        <v>1139</v>
      </c>
      <c r="G175" t="s">
        <v>958</v>
      </c>
    </row>
    <row r="176" spans="1:7" x14ac:dyDescent="0.25">
      <c r="A176" s="1">
        <v>44773</v>
      </c>
      <c r="B176" t="s">
        <v>1140</v>
      </c>
      <c r="C176" t="s">
        <v>1141</v>
      </c>
      <c r="D176" t="s">
        <v>1142</v>
      </c>
      <c r="E176" t="s">
        <v>1126</v>
      </c>
      <c r="F176" t="s">
        <v>1143</v>
      </c>
      <c r="G176" t="s">
        <v>1144</v>
      </c>
    </row>
    <row r="177" spans="1:7" x14ac:dyDescent="0.25">
      <c r="A177" s="1">
        <v>44766</v>
      </c>
      <c r="B177" t="s">
        <v>1145</v>
      </c>
      <c r="C177" t="s">
        <v>1146</v>
      </c>
      <c r="D177" t="s">
        <v>1138</v>
      </c>
      <c r="E177" t="s">
        <v>1147</v>
      </c>
      <c r="F177" t="s">
        <v>1148</v>
      </c>
      <c r="G177" t="s">
        <v>1149</v>
      </c>
    </row>
    <row r="178" spans="1:7" x14ac:dyDescent="0.25">
      <c r="A178" s="1">
        <v>44759</v>
      </c>
      <c r="B178" t="s">
        <v>1150</v>
      </c>
      <c r="C178" t="s">
        <v>1151</v>
      </c>
      <c r="D178" t="s">
        <v>1135</v>
      </c>
      <c r="E178" t="s">
        <v>1152</v>
      </c>
      <c r="F178" t="s">
        <v>1153</v>
      </c>
      <c r="G178" t="s">
        <v>1154</v>
      </c>
    </row>
    <row r="179" spans="1:7" x14ac:dyDescent="0.25">
      <c r="A179" s="1">
        <v>44752</v>
      </c>
      <c r="B179" t="s">
        <v>1155</v>
      </c>
      <c r="C179" t="s">
        <v>843</v>
      </c>
      <c r="D179" t="s">
        <v>1156</v>
      </c>
      <c r="E179" t="s">
        <v>1121</v>
      </c>
      <c r="F179" t="s">
        <v>1157</v>
      </c>
      <c r="G179" t="s">
        <v>1158</v>
      </c>
    </row>
    <row r="180" spans="1:7" x14ac:dyDescent="0.25">
      <c r="A180" s="1">
        <v>44745</v>
      </c>
      <c r="B180" t="s">
        <v>748</v>
      </c>
      <c r="C180" t="s">
        <v>1159</v>
      </c>
      <c r="D180" t="s">
        <v>1160</v>
      </c>
      <c r="E180" t="s">
        <v>1161</v>
      </c>
      <c r="F180" t="s">
        <v>1162</v>
      </c>
      <c r="G180" t="s">
        <v>1163</v>
      </c>
    </row>
    <row r="181" spans="1:7" x14ac:dyDescent="0.25">
      <c r="A181" s="1">
        <v>44738</v>
      </c>
      <c r="B181" t="s">
        <v>1164</v>
      </c>
      <c r="C181" t="s">
        <v>1165</v>
      </c>
      <c r="D181" t="s">
        <v>1037</v>
      </c>
      <c r="E181" t="s">
        <v>1166</v>
      </c>
      <c r="F181" t="s">
        <v>1167</v>
      </c>
      <c r="G181" t="s">
        <v>1168</v>
      </c>
    </row>
    <row r="182" spans="1:7" x14ac:dyDescent="0.25">
      <c r="A182" s="1">
        <v>44731</v>
      </c>
      <c r="B182" t="s">
        <v>1169</v>
      </c>
      <c r="C182" t="s">
        <v>1170</v>
      </c>
      <c r="D182" t="s">
        <v>1171</v>
      </c>
      <c r="E182" t="s">
        <v>881</v>
      </c>
      <c r="F182" t="s">
        <v>1172</v>
      </c>
      <c r="G182" t="s">
        <v>1173</v>
      </c>
    </row>
    <row r="183" spans="1:7" x14ac:dyDescent="0.25">
      <c r="A183" s="1">
        <v>44724</v>
      </c>
      <c r="B183" t="s">
        <v>768</v>
      </c>
      <c r="C183" t="s">
        <v>1038</v>
      </c>
      <c r="D183" t="s">
        <v>1038</v>
      </c>
      <c r="E183" t="s">
        <v>859</v>
      </c>
      <c r="F183" t="s">
        <v>1174</v>
      </c>
      <c r="G183" t="s">
        <v>1175</v>
      </c>
    </row>
    <row r="184" spans="1:7" x14ac:dyDescent="0.25">
      <c r="A184" s="1">
        <v>44717</v>
      </c>
      <c r="B184" t="s">
        <v>982</v>
      </c>
      <c r="C184" t="s">
        <v>1176</v>
      </c>
      <c r="D184" t="s">
        <v>1038</v>
      </c>
      <c r="E184" t="s">
        <v>1177</v>
      </c>
      <c r="F184" t="s">
        <v>1178</v>
      </c>
      <c r="G184" t="s">
        <v>1179</v>
      </c>
    </row>
    <row r="185" spans="1:7" x14ac:dyDescent="0.25">
      <c r="A185" s="1">
        <v>44710</v>
      </c>
      <c r="B185" t="s">
        <v>1180</v>
      </c>
      <c r="C185" t="s">
        <v>1026</v>
      </c>
      <c r="D185" t="s">
        <v>1181</v>
      </c>
      <c r="E185" t="s">
        <v>1182</v>
      </c>
      <c r="F185" t="s">
        <v>1183</v>
      </c>
      <c r="G185" t="s">
        <v>1184</v>
      </c>
    </row>
    <row r="186" spans="1:7" x14ac:dyDescent="0.25">
      <c r="A186" s="1">
        <v>44703</v>
      </c>
      <c r="B186" t="s">
        <v>788</v>
      </c>
      <c r="C186" t="s">
        <v>1185</v>
      </c>
      <c r="D186" t="s">
        <v>782</v>
      </c>
      <c r="E186" t="s">
        <v>777</v>
      </c>
      <c r="F186" t="s">
        <v>1186</v>
      </c>
      <c r="G186" t="s">
        <v>1187</v>
      </c>
    </row>
    <row r="187" spans="1:7" x14ac:dyDescent="0.25">
      <c r="A187" s="1">
        <v>44696</v>
      </c>
      <c r="B187" t="s">
        <v>1017</v>
      </c>
      <c r="C187" t="s">
        <v>1024</v>
      </c>
      <c r="D187" t="s">
        <v>1188</v>
      </c>
      <c r="E187" t="s">
        <v>900</v>
      </c>
      <c r="F187" t="s">
        <v>1189</v>
      </c>
      <c r="G187" t="s">
        <v>1190</v>
      </c>
    </row>
    <row r="188" spans="1:7" x14ac:dyDescent="0.25">
      <c r="A188" s="1">
        <v>44689</v>
      </c>
      <c r="B188" t="s">
        <v>924</v>
      </c>
      <c r="C188" t="s">
        <v>1191</v>
      </c>
      <c r="D188" t="s">
        <v>1191</v>
      </c>
      <c r="E188" t="s">
        <v>1192</v>
      </c>
      <c r="F188" t="s">
        <v>1193</v>
      </c>
      <c r="G188" t="s">
        <v>1194</v>
      </c>
    </row>
    <row r="189" spans="1:7" x14ac:dyDescent="0.25">
      <c r="A189" s="1">
        <v>44682</v>
      </c>
      <c r="B189" t="s">
        <v>1195</v>
      </c>
      <c r="C189" t="s">
        <v>1196</v>
      </c>
      <c r="D189" t="s">
        <v>1197</v>
      </c>
      <c r="E189" t="s">
        <v>975</v>
      </c>
      <c r="F189" t="s">
        <v>1198</v>
      </c>
      <c r="G189" t="s">
        <v>1199</v>
      </c>
    </row>
    <row r="190" spans="1:7" x14ac:dyDescent="0.25">
      <c r="A190" s="1">
        <v>44675</v>
      </c>
      <c r="B190" t="s">
        <v>1200</v>
      </c>
      <c r="C190" t="s">
        <v>1201</v>
      </c>
      <c r="D190" t="s">
        <v>1202</v>
      </c>
      <c r="E190" t="s">
        <v>1203</v>
      </c>
      <c r="F190" t="s">
        <v>1204</v>
      </c>
      <c r="G190" t="s">
        <v>1205</v>
      </c>
    </row>
    <row r="191" spans="1:7" x14ac:dyDescent="0.25">
      <c r="A191" s="1">
        <v>44668</v>
      </c>
      <c r="B191" t="s">
        <v>692</v>
      </c>
      <c r="C191" t="s">
        <v>1206</v>
      </c>
      <c r="D191" t="s">
        <v>1207</v>
      </c>
      <c r="E191" t="s">
        <v>1202</v>
      </c>
      <c r="F191" t="s">
        <v>1208</v>
      </c>
      <c r="G191" t="s">
        <v>1209</v>
      </c>
    </row>
    <row r="192" spans="1:7" x14ac:dyDescent="0.25">
      <c r="A192" s="1">
        <v>44661</v>
      </c>
      <c r="B192" t="s">
        <v>635</v>
      </c>
      <c r="C192" t="s">
        <v>1210</v>
      </c>
      <c r="D192" t="s">
        <v>1211</v>
      </c>
      <c r="E192" t="s">
        <v>1212</v>
      </c>
      <c r="F192" t="s">
        <v>780</v>
      </c>
      <c r="G192" t="s">
        <v>1213</v>
      </c>
    </row>
    <row r="193" spans="1:7" x14ac:dyDescent="0.25">
      <c r="A193" s="1">
        <v>44654</v>
      </c>
      <c r="B193" t="s">
        <v>1214</v>
      </c>
      <c r="C193" t="s">
        <v>1215</v>
      </c>
      <c r="D193" t="s">
        <v>1214</v>
      </c>
      <c r="E193" t="s">
        <v>640</v>
      </c>
      <c r="F193" t="s">
        <v>1216</v>
      </c>
      <c r="G193" t="s">
        <v>1217</v>
      </c>
    </row>
    <row r="194" spans="1:7" x14ac:dyDescent="0.25">
      <c r="A194" s="1">
        <v>44647</v>
      </c>
      <c r="B194" t="s">
        <v>1218</v>
      </c>
      <c r="C194" t="s">
        <v>1219</v>
      </c>
      <c r="D194" t="s">
        <v>1220</v>
      </c>
      <c r="E194" t="s">
        <v>1221</v>
      </c>
      <c r="F194" t="s">
        <v>326</v>
      </c>
      <c r="G194" t="s">
        <v>1222</v>
      </c>
    </row>
    <row r="195" spans="1:7" x14ac:dyDescent="0.25">
      <c r="A195" s="1">
        <v>44640</v>
      </c>
      <c r="B195" t="s">
        <v>1220</v>
      </c>
      <c r="C195" t="s">
        <v>1223</v>
      </c>
      <c r="D195" t="s">
        <v>1224</v>
      </c>
      <c r="E195" t="s">
        <v>1223</v>
      </c>
      <c r="F195" t="s">
        <v>1225</v>
      </c>
      <c r="G195" t="s">
        <v>1226</v>
      </c>
    </row>
    <row r="196" spans="1:7" x14ac:dyDescent="0.25">
      <c r="A196" s="1">
        <v>44633</v>
      </c>
      <c r="B196" t="s">
        <v>1227</v>
      </c>
      <c r="C196" t="s">
        <v>1228</v>
      </c>
      <c r="D196" t="s">
        <v>1228</v>
      </c>
      <c r="E196" t="s">
        <v>1229</v>
      </c>
      <c r="F196" t="s">
        <v>1230</v>
      </c>
      <c r="G196" t="s">
        <v>1231</v>
      </c>
    </row>
    <row r="197" spans="1:7" x14ac:dyDescent="0.25">
      <c r="A197" s="1">
        <v>44626</v>
      </c>
      <c r="B197" t="s">
        <v>675</v>
      </c>
      <c r="C197" t="s">
        <v>1232</v>
      </c>
      <c r="D197" t="s">
        <v>1233</v>
      </c>
      <c r="E197" t="s">
        <v>1234</v>
      </c>
      <c r="F197" t="s">
        <v>1235</v>
      </c>
      <c r="G197" t="s">
        <v>1236</v>
      </c>
    </row>
    <row r="198" spans="1:7" x14ac:dyDescent="0.25">
      <c r="A198" s="1">
        <v>44619</v>
      </c>
      <c r="B198" t="s">
        <v>1237</v>
      </c>
      <c r="C198" t="s">
        <v>1238</v>
      </c>
      <c r="D198" t="s">
        <v>1237</v>
      </c>
      <c r="E198" t="s">
        <v>1239</v>
      </c>
      <c r="F198" t="s">
        <v>1240</v>
      </c>
      <c r="G198" t="s">
        <v>1241</v>
      </c>
    </row>
    <row r="199" spans="1:7" x14ac:dyDescent="0.25">
      <c r="A199" s="1">
        <v>44612</v>
      </c>
      <c r="B199" t="s">
        <v>1242</v>
      </c>
      <c r="C199" t="s">
        <v>1243</v>
      </c>
      <c r="D199" t="s">
        <v>1244</v>
      </c>
      <c r="E199" t="s">
        <v>1245</v>
      </c>
      <c r="F199" t="s">
        <v>1246</v>
      </c>
      <c r="G199" t="s">
        <v>1247</v>
      </c>
    </row>
    <row r="200" spans="1:7" x14ac:dyDescent="0.25">
      <c r="A200" s="1">
        <v>44605</v>
      </c>
      <c r="B200" t="s">
        <v>1248</v>
      </c>
      <c r="C200" t="s">
        <v>1024</v>
      </c>
      <c r="D200" t="s">
        <v>1249</v>
      </c>
      <c r="E200" t="s">
        <v>923</v>
      </c>
      <c r="F200" t="s">
        <v>1250</v>
      </c>
      <c r="G200" t="s">
        <v>1251</v>
      </c>
    </row>
    <row r="201" spans="1:7" x14ac:dyDescent="0.25">
      <c r="A201" s="1">
        <v>44598</v>
      </c>
      <c r="B201" t="s">
        <v>1252</v>
      </c>
      <c r="C201" t="s">
        <v>1253</v>
      </c>
      <c r="D201" t="s">
        <v>1254</v>
      </c>
      <c r="E201" t="s">
        <v>1253</v>
      </c>
      <c r="F201" t="s">
        <v>1255</v>
      </c>
      <c r="G201" t="s">
        <v>1256</v>
      </c>
    </row>
    <row r="202" spans="1:7" x14ac:dyDescent="0.25">
      <c r="A202" s="1">
        <v>44591</v>
      </c>
      <c r="B202" t="s">
        <v>859</v>
      </c>
      <c r="C202" t="s">
        <v>730</v>
      </c>
      <c r="D202" t="s">
        <v>894</v>
      </c>
      <c r="E202" t="s">
        <v>730</v>
      </c>
      <c r="F202" t="s">
        <v>1257</v>
      </c>
      <c r="G202" t="s">
        <v>826</v>
      </c>
    </row>
    <row r="203" spans="1:7" x14ac:dyDescent="0.25">
      <c r="A203" s="1">
        <v>44584</v>
      </c>
      <c r="B203" t="s">
        <v>865</v>
      </c>
      <c r="C203" t="s">
        <v>901</v>
      </c>
      <c r="D203" t="s">
        <v>1036</v>
      </c>
      <c r="E203" t="s">
        <v>865</v>
      </c>
      <c r="F203" t="s">
        <v>1258</v>
      </c>
      <c r="G203" t="s">
        <v>1259</v>
      </c>
    </row>
    <row r="204" spans="1:7" x14ac:dyDescent="0.25">
      <c r="A204" s="1">
        <v>44577</v>
      </c>
      <c r="B204" t="s">
        <v>1260</v>
      </c>
      <c r="C204" t="s">
        <v>1261</v>
      </c>
      <c r="D204" t="s">
        <v>1262</v>
      </c>
      <c r="E204" t="s">
        <v>1263</v>
      </c>
      <c r="F204" t="s">
        <v>1264</v>
      </c>
      <c r="G204" t="s">
        <v>1265</v>
      </c>
    </row>
    <row r="205" spans="1:7" x14ac:dyDescent="0.25">
      <c r="A205" s="1">
        <v>44570</v>
      </c>
      <c r="B205" t="s">
        <v>1266</v>
      </c>
      <c r="C205" t="s">
        <v>828</v>
      </c>
      <c r="D205" t="s">
        <v>983</v>
      </c>
      <c r="E205" t="s">
        <v>1267</v>
      </c>
      <c r="F205" t="s">
        <v>1268</v>
      </c>
      <c r="G205" t="s">
        <v>1269</v>
      </c>
    </row>
    <row r="206" spans="1:7" x14ac:dyDescent="0.25">
      <c r="A206" s="1">
        <v>44563</v>
      </c>
      <c r="B206" t="s">
        <v>1013</v>
      </c>
      <c r="C206" t="s">
        <v>1270</v>
      </c>
      <c r="D206" t="s">
        <v>1270</v>
      </c>
      <c r="E206" t="s">
        <v>1271</v>
      </c>
      <c r="F206" t="s">
        <v>1272</v>
      </c>
      <c r="G206" t="s">
        <v>1273</v>
      </c>
    </row>
    <row r="207" spans="1:7" x14ac:dyDescent="0.25">
      <c r="A207" s="1">
        <v>44556</v>
      </c>
      <c r="B207" t="s">
        <v>1274</v>
      </c>
      <c r="C207" t="s">
        <v>1261</v>
      </c>
      <c r="D207" t="s">
        <v>1275</v>
      </c>
      <c r="E207" t="s">
        <v>721</v>
      </c>
      <c r="F207" t="s">
        <v>1276</v>
      </c>
      <c r="G207" t="s">
        <v>1277</v>
      </c>
    </row>
    <row r="208" spans="1:7" x14ac:dyDescent="0.25">
      <c r="A208" s="1">
        <v>44549</v>
      </c>
      <c r="B208" t="s">
        <v>1278</v>
      </c>
      <c r="C208" t="s">
        <v>1279</v>
      </c>
      <c r="D208" t="s">
        <v>900</v>
      </c>
      <c r="E208" t="s">
        <v>1280</v>
      </c>
      <c r="F208" t="s">
        <v>1281</v>
      </c>
      <c r="G208" t="s">
        <v>1282</v>
      </c>
    </row>
    <row r="209" spans="1:7" x14ac:dyDescent="0.25">
      <c r="A209" s="1">
        <v>44542</v>
      </c>
      <c r="B209" t="s">
        <v>1283</v>
      </c>
      <c r="C209" t="s">
        <v>853</v>
      </c>
      <c r="D209" t="s">
        <v>1284</v>
      </c>
      <c r="E209" t="s">
        <v>1285</v>
      </c>
      <c r="F209" t="s">
        <v>1286</v>
      </c>
      <c r="G209" t="s">
        <v>1287</v>
      </c>
    </row>
    <row r="210" spans="1:7" x14ac:dyDescent="0.25">
      <c r="A210" s="1">
        <v>44535</v>
      </c>
      <c r="B210" t="s">
        <v>1288</v>
      </c>
      <c r="C210" t="s">
        <v>1177</v>
      </c>
      <c r="D210" t="s">
        <v>1289</v>
      </c>
      <c r="E210" t="s">
        <v>1288</v>
      </c>
      <c r="F210" t="s">
        <v>1290</v>
      </c>
      <c r="G210" t="s">
        <v>1291</v>
      </c>
    </row>
    <row r="211" spans="1:7" x14ac:dyDescent="0.25">
      <c r="A211" s="1">
        <v>44528</v>
      </c>
      <c r="B211" t="s">
        <v>772</v>
      </c>
      <c r="C211" t="s">
        <v>1292</v>
      </c>
      <c r="D211" t="s">
        <v>924</v>
      </c>
      <c r="E211" t="s">
        <v>1293</v>
      </c>
      <c r="F211" t="s">
        <v>1294</v>
      </c>
      <c r="G211" t="s">
        <v>1295</v>
      </c>
    </row>
    <row r="212" spans="1:7" x14ac:dyDescent="0.25">
      <c r="A212" s="1">
        <v>44521</v>
      </c>
      <c r="B212" t="s">
        <v>1296</v>
      </c>
      <c r="C212" t="s">
        <v>1297</v>
      </c>
      <c r="D212" t="s">
        <v>1298</v>
      </c>
      <c r="E212" t="s">
        <v>1296</v>
      </c>
      <c r="F212" t="s">
        <v>1299</v>
      </c>
      <c r="G212" t="s">
        <v>1300</v>
      </c>
    </row>
    <row r="213" spans="1:7" x14ac:dyDescent="0.25">
      <c r="A213" s="1">
        <v>44514</v>
      </c>
      <c r="B213" t="s">
        <v>1301</v>
      </c>
      <c r="C213" t="s">
        <v>1302</v>
      </c>
      <c r="D213" t="s">
        <v>1303</v>
      </c>
      <c r="E213" t="s">
        <v>1302</v>
      </c>
      <c r="F213" t="s">
        <v>1304</v>
      </c>
      <c r="G213" t="s">
        <v>1305</v>
      </c>
    </row>
    <row r="214" spans="1:7" x14ac:dyDescent="0.25">
      <c r="A214" s="1">
        <v>44507</v>
      </c>
      <c r="B214" t="s">
        <v>1306</v>
      </c>
      <c r="C214" t="s">
        <v>1307</v>
      </c>
      <c r="D214" t="s">
        <v>948</v>
      </c>
      <c r="E214" t="s">
        <v>1252</v>
      </c>
      <c r="F214" t="s">
        <v>1308</v>
      </c>
      <c r="G214" t="s">
        <v>1309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4"/>
  <sheetViews>
    <sheetView workbookViewId="0">
      <selection activeCell="D1" sqref="D1:D1048576"/>
    </sheetView>
  </sheetViews>
  <sheetFormatPr baseColWidth="10" defaultRowHeight="15" x14ac:dyDescent="0.25"/>
  <cols>
    <col min="4" max="4" width="13.7109375" customWidth="1"/>
  </cols>
  <sheetData>
    <row r="1" spans="1:4" x14ac:dyDescent="0.25">
      <c r="A1" t="s">
        <v>0</v>
      </c>
      <c r="B1" t="s">
        <v>209</v>
      </c>
      <c r="C1" t="s">
        <v>210</v>
      </c>
      <c r="D1" t="s">
        <v>1513</v>
      </c>
    </row>
    <row r="2" spans="1:4" x14ac:dyDescent="0.25">
      <c r="A2" s="1">
        <v>44507</v>
      </c>
      <c r="B2">
        <v>83.25</v>
      </c>
      <c r="C2">
        <f>100*B2/$B$2</f>
        <v>100</v>
      </c>
    </row>
    <row r="3" spans="1:4" x14ac:dyDescent="0.25">
      <c r="A3" s="1">
        <v>44514</v>
      </c>
      <c r="B3">
        <v>84.33</v>
      </c>
      <c r="C3">
        <f>100*(B3/$B$2)</f>
        <v>101.29729729729731</v>
      </c>
      <c r="D3">
        <f>(B3-B2)/B2</f>
        <v>1.2972972972972953E-2</v>
      </c>
    </row>
    <row r="4" spans="1:4" x14ac:dyDescent="0.25">
      <c r="A4" s="1">
        <v>44521</v>
      </c>
      <c r="B4">
        <v>81.739999999999995</v>
      </c>
      <c r="C4">
        <f t="shared" ref="C4:C66" si="0">100*(B4/$B$2)</f>
        <v>98.186186186186177</v>
      </c>
      <c r="D4">
        <f t="shared" ref="D4:D67" si="1">(B4-B3)/B3</f>
        <v>-3.0712676390371202E-2</v>
      </c>
    </row>
    <row r="5" spans="1:4" x14ac:dyDescent="0.25">
      <c r="A5" s="1">
        <v>44528</v>
      </c>
      <c r="B5">
        <v>80.77</v>
      </c>
      <c r="C5">
        <f t="shared" si="0"/>
        <v>97.021021021021014</v>
      </c>
      <c r="D5">
        <f t="shared" si="1"/>
        <v>-1.186689503303155E-2</v>
      </c>
    </row>
    <row r="6" spans="1:4" x14ac:dyDescent="0.25">
      <c r="A6" s="1">
        <v>44535</v>
      </c>
      <c r="B6">
        <v>83.09</v>
      </c>
      <c r="C6">
        <f t="shared" si="0"/>
        <v>99.807807807807819</v>
      </c>
      <c r="D6">
        <f t="shared" si="1"/>
        <v>2.8723535966324223E-2</v>
      </c>
    </row>
    <row r="7" spans="1:4" x14ac:dyDescent="0.25">
      <c r="A7" s="1">
        <v>44542</v>
      </c>
      <c r="B7">
        <v>82.71</v>
      </c>
      <c r="C7">
        <f t="shared" si="0"/>
        <v>99.35135135135134</v>
      </c>
      <c r="D7">
        <f t="shared" si="1"/>
        <v>-4.5733541942473178E-3</v>
      </c>
    </row>
    <row r="8" spans="1:4" x14ac:dyDescent="0.25">
      <c r="A8" s="1">
        <v>44549</v>
      </c>
      <c r="B8">
        <v>84</v>
      </c>
      <c r="C8">
        <f t="shared" si="0"/>
        <v>100.90090090090089</v>
      </c>
      <c r="D8">
        <f t="shared" si="1"/>
        <v>1.5596663039535804E-2</v>
      </c>
    </row>
    <row r="9" spans="1:4" x14ac:dyDescent="0.25">
      <c r="A9" s="1">
        <v>44556</v>
      </c>
      <c r="B9">
        <v>84.88</v>
      </c>
      <c r="C9">
        <f t="shared" si="0"/>
        <v>101.95795795795794</v>
      </c>
      <c r="D9">
        <f t="shared" si="1"/>
        <v>1.0476190476190422E-2</v>
      </c>
    </row>
    <row r="10" spans="1:4" x14ac:dyDescent="0.25">
      <c r="A10" s="1">
        <v>44563</v>
      </c>
      <c r="B10">
        <v>83.01</v>
      </c>
      <c r="C10">
        <f t="shared" si="0"/>
        <v>99.711711711711715</v>
      </c>
      <c r="D10">
        <f t="shared" si="1"/>
        <v>-2.2031102733270386E-2</v>
      </c>
    </row>
    <row r="11" spans="1:4" x14ac:dyDescent="0.25">
      <c r="A11" s="1">
        <v>44570</v>
      </c>
      <c r="B11">
        <v>81.93</v>
      </c>
      <c r="C11">
        <f t="shared" si="0"/>
        <v>98.414414414414424</v>
      </c>
      <c r="D11">
        <f t="shared" si="1"/>
        <v>-1.3010480664980102E-2</v>
      </c>
    </row>
    <row r="12" spans="1:4" x14ac:dyDescent="0.25">
      <c r="A12" s="1">
        <v>44577</v>
      </c>
      <c r="B12">
        <v>80.09</v>
      </c>
      <c r="C12">
        <f t="shared" si="0"/>
        <v>96.204204204204217</v>
      </c>
      <c r="D12">
        <f t="shared" si="1"/>
        <v>-2.2458196020993571E-2</v>
      </c>
    </row>
    <row r="13" spans="1:4" x14ac:dyDescent="0.25">
      <c r="A13" s="1">
        <v>44584</v>
      </c>
      <c r="B13">
        <v>78.790000000000006</v>
      </c>
      <c r="C13">
        <f t="shared" si="0"/>
        <v>94.642642642642656</v>
      </c>
      <c r="D13">
        <f t="shared" si="1"/>
        <v>-1.6231739293295008E-2</v>
      </c>
    </row>
    <row r="14" spans="1:4" x14ac:dyDescent="0.25">
      <c r="A14" s="1">
        <v>44591</v>
      </c>
      <c r="B14">
        <v>78.930000000000007</v>
      </c>
      <c r="C14">
        <f t="shared" si="0"/>
        <v>94.810810810810821</v>
      </c>
      <c r="D14">
        <f t="shared" si="1"/>
        <v>1.7768752379743694E-3</v>
      </c>
    </row>
    <row r="15" spans="1:4" x14ac:dyDescent="0.25">
      <c r="A15" s="1">
        <v>44598</v>
      </c>
      <c r="B15">
        <v>79.78</v>
      </c>
      <c r="C15">
        <f t="shared" si="0"/>
        <v>95.831831831831835</v>
      </c>
      <c r="D15">
        <f t="shared" si="1"/>
        <v>1.0769035854554595E-2</v>
      </c>
    </row>
    <row r="16" spans="1:4" x14ac:dyDescent="0.25">
      <c r="A16" s="1">
        <v>44605</v>
      </c>
      <c r="B16">
        <v>78.13</v>
      </c>
      <c r="C16">
        <f t="shared" si="0"/>
        <v>93.849849849849846</v>
      </c>
      <c r="D16">
        <f t="shared" si="1"/>
        <v>-2.0681875156680945E-2</v>
      </c>
    </row>
    <row r="17" spans="1:4" x14ac:dyDescent="0.25">
      <c r="A17" s="1">
        <v>44612</v>
      </c>
      <c r="B17">
        <v>78.36</v>
      </c>
      <c r="C17">
        <f t="shared" si="0"/>
        <v>94.126126126126124</v>
      </c>
      <c r="D17">
        <f t="shared" si="1"/>
        <v>2.9438115960579033E-3</v>
      </c>
    </row>
    <row r="18" spans="1:4" x14ac:dyDescent="0.25">
      <c r="A18" s="1">
        <v>44619</v>
      </c>
      <c r="B18">
        <v>78.2</v>
      </c>
      <c r="C18">
        <f t="shared" si="0"/>
        <v>93.933933933933929</v>
      </c>
      <c r="D18">
        <f t="shared" si="1"/>
        <v>-2.0418580908626413E-3</v>
      </c>
    </row>
    <row r="19" spans="1:4" x14ac:dyDescent="0.25">
      <c r="A19" s="1">
        <v>44626</v>
      </c>
      <c r="B19">
        <v>77.64</v>
      </c>
      <c r="C19">
        <f t="shared" si="0"/>
        <v>93.261261261261268</v>
      </c>
      <c r="D19">
        <f t="shared" si="1"/>
        <v>-7.1611253196931235E-3</v>
      </c>
    </row>
    <row r="20" spans="1:4" x14ac:dyDescent="0.25">
      <c r="A20" s="1">
        <v>44633</v>
      </c>
      <c r="B20">
        <v>80.56</v>
      </c>
      <c r="C20">
        <f t="shared" si="0"/>
        <v>96.76876876876878</v>
      </c>
      <c r="D20">
        <f t="shared" si="1"/>
        <v>3.7609479649665142E-2</v>
      </c>
    </row>
    <row r="21" spans="1:4" x14ac:dyDescent="0.25">
      <c r="A21" s="1">
        <v>44640</v>
      </c>
      <c r="B21">
        <v>82.17</v>
      </c>
      <c r="C21">
        <f t="shared" si="0"/>
        <v>98.702702702702709</v>
      </c>
      <c r="D21">
        <f t="shared" si="1"/>
        <v>1.9985104270109227E-2</v>
      </c>
    </row>
    <row r="22" spans="1:4" x14ac:dyDescent="0.25">
      <c r="A22" s="1">
        <v>44647</v>
      </c>
      <c r="B22">
        <v>82.14</v>
      </c>
      <c r="C22">
        <f t="shared" si="0"/>
        <v>98.666666666666671</v>
      </c>
      <c r="D22">
        <f t="shared" si="1"/>
        <v>-3.6509675063893315E-4</v>
      </c>
    </row>
    <row r="23" spans="1:4" x14ac:dyDescent="0.25">
      <c r="A23" s="1">
        <v>44654</v>
      </c>
      <c r="B23">
        <v>82.71</v>
      </c>
      <c r="C23">
        <f t="shared" si="0"/>
        <v>99.35135135135134</v>
      </c>
      <c r="D23">
        <f t="shared" si="1"/>
        <v>6.9393718042365859E-3</v>
      </c>
    </row>
    <row r="24" spans="1:4" x14ac:dyDescent="0.25">
      <c r="A24" s="1">
        <v>44661</v>
      </c>
      <c r="B24">
        <v>82.09</v>
      </c>
      <c r="C24">
        <f t="shared" si="0"/>
        <v>98.606606606606604</v>
      </c>
      <c r="D24">
        <f t="shared" si="1"/>
        <v>-7.4960706081488382E-3</v>
      </c>
    </row>
    <row r="25" spans="1:4" x14ac:dyDescent="0.25">
      <c r="A25" s="1">
        <v>44668</v>
      </c>
      <c r="B25">
        <v>80.34</v>
      </c>
      <c r="C25">
        <f t="shared" si="0"/>
        <v>96.50450450450451</v>
      </c>
      <c r="D25">
        <f t="shared" si="1"/>
        <v>-2.1318065537824338E-2</v>
      </c>
    </row>
    <row r="26" spans="1:4" x14ac:dyDescent="0.25">
      <c r="A26" s="1">
        <v>44675</v>
      </c>
      <c r="B26">
        <v>80.349999999999994</v>
      </c>
      <c r="C26">
        <f t="shared" si="0"/>
        <v>96.516516516516518</v>
      </c>
      <c r="D26">
        <f t="shared" si="1"/>
        <v>1.2447099825729281E-4</v>
      </c>
    </row>
    <row r="27" spans="1:4" x14ac:dyDescent="0.25">
      <c r="A27" s="1">
        <v>44682</v>
      </c>
      <c r="B27">
        <v>77.73</v>
      </c>
      <c r="C27">
        <f t="shared" si="0"/>
        <v>93.369369369369366</v>
      </c>
      <c r="D27">
        <f t="shared" si="1"/>
        <v>-3.2607342874922098E-2</v>
      </c>
    </row>
    <row r="28" spans="1:4" x14ac:dyDescent="0.25">
      <c r="A28" s="1">
        <v>44689</v>
      </c>
      <c r="B28">
        <v>77.400000000000006</v>
      </c>
      <c r="C28">
        <f t="shared" si="0"/>
        <v>92.972972972972983</v>
      </c>
      <c r="D28">
        <f t="shared" si="1"/>
        <v>-4.245465071400981E-3</v>
      </c>
    </row>
    <row r="29" spans="1:4" x14ac:dyDescent="0.25">
      <c r="A29" s="1">
        <v>44696</v>
      </c>
      <c r="B29">
        <v>74.680000000000007</v>
      </c>
      <c r="C29">
        <f t="shared" si="0"/>
        <v>89.705705705705725</v>
      </c>
      <c r="D29">
        <f t="shared" si="1"/>
        <v>-3.5142118863049077E-2</v>
      </c>
    </row>
    <row r="30" spans="1:4" x14ac:dyDescent="0.25">
      <c r="A30" s="1">
        <v>44703</v>
      </c>
      <c r="B30">
        <v>77.84</v>
      </c>
      <c r="C30">
        <f t="shared" si="0"/>
        <v>93.501501501501508</v>
      </c>
      <c r="D30">
        <f t="shared" si="1"/>
        <v>4.2313872522763744E-2</v>
      </c>
    </row>
    <row r="31" spans="1:4" x14ac:dyDescent="0.25">
      <c r="A31" s="1">
        <v>44710</v>
      </c>
      <c r="B31">
        <v>77.42</v>
      </c>
      <c r="C31">
        <f t="shared" si="0"/>
        <v>92.996996996996998</v>
      </c>
      <c r="D31">
        <f t="shared" si="1"/>
        <v>-5.395683453237432E-3</v>
      </c>
    </row>
    <row r="32" spans="1:4" x14ac:dyDescent="0.25">
      <c r="A32" s="1">
        <v>44717</v>
      </c>
      <c r="B32">
        <v>74.91</v>
      </c>
      <c r="C32">
        <f t="shared" si="0"/>
        <v>89.981981981981974</v>
      </c>
      <c r="D32">
        <f t="shared" si="1"/>
        <v>-3.2420563161973719E-2</v>
      </c>
    </row>
    <row r="33" spans="1:4" x14ac:dyDescent="0.25">
      <c r="A33" s="1">
        <v>44724</v>
      </c>
      <c r="B33">
        <v>70.930000000000007</v>
      </c>
      <c r="C33">
        <f t="shared" si="0"/>
        <v>85.201201201201201</v>
      </c>
      <c r="D33">
        <f t="shared" si="1"/>
        <v>-5.3130423174475902E-2</v>
      </c>
    </row>
    <row r="34" spans="1:4" x14ac:dyDescent="0.25">
      <c r="A34" s="1">
        <v>44731</v>
      </c>
      <c r="B34">
        <v>73.89</v>
      </c>
      <c r="C34">
        <f t="shared" si="0"/>
        <v>88.756756756756758</v>
      </c>
      <c r="D34">
        <f t="shared" si="1"/>
        <v>4.1731284364866679E-2</v>
      </c>
    </row>
    <row r="35" spans="1:4" x14ac:dyDescent="0.25">
      <c r="A35" s="1">
        <v>44738</v>
      </c>
      <c r="B35">
        <v>73.13</v>
      </c>
      <c r="C35">
        <f t="shared" si="0"/>
        <v>87.843843843843842</v>
      </c>
      <c r="D35">
        <f t="shared" si="1"/>
        <v>-1.0285559615644946E-2</v>
      </c>
    </row>
    <row r="36" spans="1:4" x14ac:dyDescent="0.25">
      <c r="A36" s="1">
        <v>44745</v>
      </c>
      <c r="B36">
        <v>76.73</v>
      </c>
      <c r="C36">
        <f t="shared" si="0"/>
        <v>92.168168168168179</v>
      </c>
      <c r="D36">
        <f t="shared" si="1"/>
        <v>4.9227403254478448E-2</v>
      </c>
    </row>
    <row r="37" spans="1:4" x14ac:dyDescent="0.25">
      <c r="A37" s="1">
        <v>44752</v>
      </c>
      <c r="B37">
        <v>76.09</v>
      </c>
      <c r="C37">
        <f t="shared" si="0"/>
        <v>91.3993993993994</v>
      </c>
      <c r="D37">
        <f t="shared" si="1"/>
        <v>-8.3409357487293171E-3</v>
      </c>
    </row>
    <row r="38" spans="1:4" x14ac:dyDescent="0.25">
      <c r="A38" s="1">
        <v>44759</v>
      </c>
      <c r="B38">
        <v>77.650000000000006</v>
      </c>
      <c r="C38">
        <f t="shared" si="0"/>
        <v>93.273273273273276</v>
      </c>
      <c r="D38">
        <f t="shared" si="1"/>
        <v>2.0502037061374719E-2</v>
      </c>
    </row>
    <row r="39" spans="1:4" x14ac:dyDescent="0.25">
      <c r="A39" s="1">
        <v>44766</v>
      </c>
      <c r="B39">
        <v>80.09</v>
      </c>
      <c r="C39">
        <f t="shared" si="0"/>
        <v>96.204204204204217</v>
      </c>
      <c r="D39">
        <f t="shared" si="1"/>
        <v>3.142305215711523E-2</v>
      </c>
    </row>
    <row r="40" spans="1:4" x14ac:dyDescent="0.25">
      <c r="A40" s="1">
        <v>44773</v>
      </c>
      <c r="B40">
        <v>80.63</v>
      </c>
      <c r="C40">
        <f t="shared" si="0"/>
        <v>96.852852852852848</v>
      </c>
      <c r="D40">
        <f t="shared" si="1"/>
        <v>6.7424147833686108E-3</v>
      </c>
    </row>
    <row r="41" spans="1:4" x14ac:dyDescent="0.25">
      <c r="A41" s="1">
        <v>44780</v>
      </c>
      <c r="B41">
        <v>82.32</v>
      </c>
      <c r="C41">
        <f t="shared" si="0"/>
        <v>98.882882882882868</v>
      </c>
      <c r="D41">
        <f t="shared" si="1"/>
        <v>2.095994046880811E-2</v>
      </c>
    </row>
    <row r="42" spans="1:4" x14ac:dyDescent="0.25">
      <c r="A42" s="1">
        <v>44787</v>
      </c>
      <c r="B42">
        <v>83.13</v>
      </c>
      <c r="C42">
        <f t="shared" si="0"/>
        <v>99.85585585585585</v>
      </c>
      <c r="D42">
        <f t="shared" si="1"/>
        <v>9.8396501457726233E-3</v>
      </c>
    </row>
    <row r="43" spans="1:4" x14ac:dyDescent="0.25">
      <c r="A43" s="1">
        <v>44794</v>
      </c>
      <c r="B43">
        <v>81.5</v>
      </c>
      <c r="C43">
        <f t="shared" si="0"/>
        <v>97.897897897897906</v>
      </c>
      <c r="D43">
        <f t="shared" si="1"/>
        <v>-1.960784313725485E-2</v>
      </c>
    </row>
    <row r="44" spans="1:4" x14ac:dyDescent="0.25">
      <c r="A44" s="1">
        <v>44801</v>
      </c>
      <c r="B44">
        <v>79.209999999999994</v>
      </c>
      <c r="C44">
        <f t="shared" si="0"/>
        <v>95.147147147147138</v>
      </c>
      <c r="D44">
        <f t="shared" si="1"/>
        <v>-2.8098159509202532E-2</v>
      </c>
    </row>
    <row r="45" spans="1:4" x14ac:dyDescent="0.25">
      <c r="A45" s="1">
        <v>44808</v>
      </c>
      <c r="B45">
        <v>80.05</v>
      </c>
      <c r="C45">
        <f t="shared" si="0"/>
        <v>96.156156156156143</v>
      </c>
      <c r="D45">
        <f t="shared" si="1"/>
        <v>1.060472162605736E-2</v>
      </c>
    </row>
    <row r="46" spans="1:4" x14ac:dyDescent="0.25">
      <c r="A46" s="1">
        <v>44815</v>
      </c>
      <c r="B46">
        <v>76.63</v>
      </c>
      <c r="C46">
        <f t="shared" si="0"/>
        <v>92.048048048048045</v>
      </c>
      <c r="D46">
        <f t="shared" si="1"/>
        <v>-4.2723297938788284E-2</v>
      </c>
    </row>
    <row r="47" spans="1:4" x14ac:dyDescent="0.25">
      <c r="A47" s="1">
        <v>44822</v>
      </c>
      <c r="B47">
        <v>75.13</v>
      </c>
      <c r="C47">
        <f t="shared" si="0"/>
        <v>90.246246246246244</v>
      </c>
      <c r="D47">
        <f t="shared" si="1"/>
        <v>-1.9574579146548352E-2</v>
      </c>
    </row>
    <row r="48" spans="1:4" x14ac:dyDescent="0.25">
      <c r="A48" s="1">
        <v>44829</v>
      </c>
      <c r="B48">
        <v>74.12</v>
      </c>
      <c r="C48">
        <f t="shared" si="0"/>
        <v>89.033033033033036</v>
      </c>
      <c r="D48">
        <f t="shared" si="1"/>
        <v>-1.3443364834287114E-2</v>
      </c>
    </row>
    <row r="49" spans="1:4" x14ac:dyDescent="0.25">
      <c r="A49" s="1">
        <v>44836</v>
      </c>
      <c r="B49">
        <v>74.63</v>
      </c>
      <c r="C49">
        <f t="shared" si="0"/>
        <v>89.645645645645644</v>
      </c>
      <c r="D49">
        <f t="shared" si="1"/>
        <v>6.8807339449540057E-3</v>
      </c>
    </row>
    <row r="50" spans="1:4" x14ac:dyDescent="0.25">
      <c r="A50" s="1">
        <v>44843</v>
      </c>
      <c r="B50">
        <v>73.77</v>
      </c>
      <c r="C50">
        <f t="shared" si="0"/>
        <v>88.612612612612608</v>
      </c>
      <c r="D50">
        <f t="shared" si="1"/>
        <v>-1.1523516012327475E-2</v>
      </c>
    </row>
    <row r="51" spans="1:4" x14ac:dyDescent="0.25">
      <c r="A51" s="1">
        <v>44850</v>
      </c>
      <c r="B51">
        <v>74.77</v>
      </c>
      <c r="C51">
        <f t="shared" si="0"/>
        <v>89.813813813813809</v>
      </c>
      <c r="D51">
        <f t="shared" si="1"/>
        <v>1.3555645926528399E-2</v>
      </c>
    </row>
    <row r="52" spans="1:4" x14ac:dyDescent="0.25">
      <c r="A52" s="1">
        <v>44857</v>
      </c>
      <c r="B52">
        <v>76.88</v>
      </c>
      <c r="C52">
        <f t="shared" si="0"/>
        <v>92.348348348348338</v>
      </c>
      <c r="D52">
        <f t="shared" si="1"/>
        <v>2.8219874281128789E-2</v>
      </c>
    </row>
    <row r="53" spans="1:4" x14ac:dyDescent="0.25">
      <c r="A53" s="1">
        <v>44864</v>
      </c>
      <c r="B53">
        <v>75.569999999999993</v>
      </c>
      <c r="C53">
        <f t="shared" si="0"/>
        <v>90.77477477477477</v>
      </c>
      <c r="D53">
        <f t="shared" si="1"/>
        <v>-1.7039542143600445E-2</v>
      </c>
    </row>
    <row r="54" spans="1:4" x14ac:dyDescent="0.25">
      <c r="A54" s="1">
        <v>44871</v>
      </c>
      <c r="B54">
        <v>77.349999999999994</v>
      </c>
      <c r="C54">
        <f t="shared" si="0"/>
        <v>92.912912912912901</v>
      </c>
      <c r="D54">
        <f t="shared" si="1"/>
        <v>2.3554320497551955E-2</v>
      </c>
    </row>
    <row r="55" spans="1:4" x14ac:dyDescent="0.25">
      <c r="A55" s="1">
        <v>44878</v>
      </c>
      <c r="B55">
        <v>77.23</v>
      </c>
      <c r="C55">
        <f t="shared" si="0"/>
        <v>92.768768768768766</v>
      </c>
      <c r="D55">
        <f t="shared" si="1"/>
        <v>-1.5513897866837796E-3</v>
      </c>
    </row>
    <row r="56" spans="1:4" x14ac:dyDescent="0.25">
      <c r="A56" s="1">
        <v>44885</v>
      </c>
      <c r="B56">
        <v>78.33</v>
      </c>
      <c r="C56">
        <f t="shared" si="0"/>
        <v>94.090090090090087</v>
      </c>
      <c r="D56">
        <f t="shared" si="1"/>
        <v>1.4243169752686705E-2</v>
      </c>
    </row>
    <row r="57" spans="1:4" x14ac:dyDescent="0.25">
      <c r="A57" s="1">
        <v>44892</v>
      </c>
      <c r="B57">
        <v>78.17</v>
      </c>
      <c r="C57">
        <f t="shared" si="0"/>
        <v>93.897897897897892</v>
      </c>
      <c r="D57">
        <f t="shared" si="1"/>
        <v>-2.0426401123451628E-3</v>
      </c>
    </row>
    <row r="58" spans="1:4" x14ac:dyDescent="0.25">
      <c r="A58" s="1">
        <v>44899</v>
      </c>
      <c r="B58">
        <v>76.599999999999994</v>
      </c>
      <c r="C58">
        <f t="shared" si="0"/>
        <v>92.012012012012008</v>
      </c>
      <c r="D58">
        <f t="shared" si="1"/>
        <v>-2.0084431367532397E-2</v>
      </c>
    </row>
    <row r="59" spans="1:4" x14ac:dyDescent="0.25">
      <c r="A59" s="1">
        <v>44906</v>
      </c>
      <c r="B59">
        <v>73.94</v>
      </c>
      <c r="C59">
        <f t="shared" si="0"/>
        <v>88.816816816816811</v>
      </c>
      <c r="D59">
        <f t="shared" si="1"/>
        <v>-3.4725848563968625E-2</v>
      </c>
    </row>
    <row r="60" spans="1:4" x14ac:dyDescent="0.25">
      <c r="A60" s="1">
        <v>44913</v>
      </c>
      <c r="B60">
        <v>73.73</v>
      </c>
      <c r="C60">
        <f t="shared" si="0"/>
        <v>88.564564564564577</v>
      </c>
      <c r="D60">
        <f t="shared" si="1"/>
        <v>-2.8401406545847138E-3</v>
      </c>
    </row>
    <row r="61" spans="1:4" x14ac:dyDescent="0.25">
      <c r="A61" s="1">
        <v>44920</v>
      </c>
      <c r="B61">
        <v>73.34</v>
      </c>
      <c r="C61">
        <f t="shared" si="0"/>
        <v>88.096096096096105</v>
      </c>
      <c r="D61">
        <f t="shared" si="1"/>
        <v>-5.2895700528957082E-3</v>
      </c>
    </row>
    <row r="62" spans="1:4" x14ac:dyDescent="0.25">
      <c r="A62" s="1">
        <v>44927</v>
      </c>
      <c r="B62">
        <v>75.040000000000006</v>
      </c>
      <c r="C62">
        <f t="shared" si="0"/>
        <v>90.138138138138146</v>
      </c>
      <c r="D62">
        <f t="shared" si="1"/>
        <v>2.3179710935369548E-2</v>
      </c>
    </row>
    <row r="63" spans="1:4" x14ac:dyDescent="0.25">
      <c r="A63" s="1">
        <v>44934</v>
      </c>
      <c r="B63">
        <v>75.81</v>
      </c>
      <c r="C63">
        <f t="shared" si="0"/>
        <v>91.063063063063069</v>
      </c>
      <c r="D63">
        <f t="shared" si="1"/>
        <v>1.0261194029850693E-2</v>
      </c>
    </row>
    <row r="64" spans="1:4" x14ac:dyDescent="0.25">
      <c r="A64" s="1">
        <v>44941</v>
      </c>
      <c r="B64">
        <v>75.36</v>
      </c>
      <c r="C64">
        <f t="shared" si="0"/>
        <v>90.522522522522522</v>
      </c>
      <c r="D64">
        <f t="shared" si="1"/>
        <v>-5.935892362485198E-3</v>
      </c>
    </row>
    <row r="65" spans="1:4" x14ac:dyDescent="0.25">
      <c r="A65" s="1">
        <v>44948</v>
      </c>
      <c r="B65">
        <v>77.34</v>
      </c>
      <c r="C65">
        <f t="shared" si="0"/>
        <v>92.900900900900908</v>
      </c>
      <c r="D65">
        <f t="shared" si="1"/>
        <v>2.6273885350318524E-2</v>
      </c>
    </row>
    <row r="66" spans="1:4" x14ac:dyDescent="0.25">
      <c r="A66" s="1">
        <v>44955</v>
      </c>
      <c r="B66">
        <v>79.16</v>
      </c>
      <c r="C66">
        <f t="shared" si="0"/>
        <v>95.087087087087085</v>
      </c>
      <c r="D66">
        <f t="shared" si="1"/>
        <v>2.3532454098784499E-2</v>
      </c>
    </row>
    <row r="67" spans="1:4" x14ac:dyDescent="0.25">
      <c r="A67" s="1">
        <v>44962</v>
      </c>
      <c r="B67">
        <v>78.510000000000005</v>
      </c>
      <c r="C67">
        <f t="shared" ref="C67:C130" si="2">100*(B67/$B$2)</f>
        <v>94.306306306306311</v>
      </c>
      <c r="D67">
        <f t="shared" si="1"/>
        <v>-8.2112177867608837E-3</v>
      </c>
    </row>
    <row r="68" spans="1:4" x14ac:dyDescent="0.25">
      <c r="A68" s="1">
        <v>44969</v>
      </c>
      <c r="B68">
        <v>78.319999999999993</v>
      </c>
      <c r="C68">
        <f t="shared" si="2"/>
        <v>94.078078078078065</v>
      </c>
      <c r="D68">
        <f t="shared" ref="D68:D131" si="3">(B68-B67)/B67</f>
        <v>-2.4200738759395228E-3</v>
      </c>
    </row>
    <row r="69" spans="1:4" x14ac:dyDescent="0.25">
      <c r="A69" s="1">
        <v>44976</v>
      </c>
      <c r="B69">
        <v>77.23</v>
      </c>
      <c r="C69">
        <f t="shared" si="2"/>
        <v>92.768768768768766</v>
      </c>
      <c r="D69">
        <f t="shared" si="3"/>
        <v>-1.3917262512767994E-2</v>
      </c>
    </row>
    <row r="70" spans="1:4" x14ac:dyDescent="0.25">
      <c r="A70" s="1">
        <v>44983</v>
      </c>
      <c r="B70">
        <v>78.239999999999995</v>
      </c>
      <c r="C70">
        <f t="shared" si="2"/>
        <v>93.981981981981974</v>
      </c>
      <c r="D70">
        <f t="shared" si="3"/>
        <v>1.3077819500194106E-2</v>
      </c>
    </row>
    <row r="71" spans="1:4" x14ac:dyDescent="0.25">
      <c r="A71" s="1">
        <v>44990</v>
      </c>
      <c r="B71">
        <v>76.260000000000005</v>
      </c>
      <c r="C71">
        <f t="shared" si="2"/>
        <v>91.603603603603617</v>
      </c>
      <c r="D71">
        <f t="shared" si="3"/>
        <v>-2.530674846625754E-2</v>
      </c>
    </row>
    <row r="72" spans="1:4" x14ac:dyDescent="0.25">
      <c r="A72" s="1">
        <v>44997</v>
      </c>
      <c r="B72">
        <v>75.290000000000006</v>
      </c>
      <c r="C72">
        <f t="shared" si="2"/>
        <v>90.438438438438453</v>
      </c>
      <c r="D72">
        <f t="shared" si="3"/>
        <v>-1.2719643325465498E-2</v>
      </c>
    </row>
    <row r="73" spans="1:4" x14ac:dyDescent="0.25">
      <c r="A73" s="1">
        <v>45004</v>
      </c>
      <c r="B73">
        <v>75.31</v>
      </c>
      <c r="C73">
        <f t="shared" si="2"/>
        <v>90.462462462462469</v>
      </c>
      <c r="D73">
        <f t="shared" si="3"/>
        <v>2.6563952716158876E-4</v>
      </c>
    </row>
    <row r="74" spans="1:4" x14ac:dyDescent="0.25">
      <c r="A74" s="1">
        <v>45011</v>
      </c>
      <c r="B74">
        <v>77.56</v>
      </c>
      <c r="C74">
        <f t="shared" si="2"/>
        <v>93.165165165165163</v>
      </c>
      <c r="D74">
        <f t="shared" si="3"/>
        <v>2.9876510423582525E-2</v>
      </c>
    </row>
    <row r="75" spans="1:4" x14ac:dyDescent="0.25">
      <c r="A75" s="1">
        <v>45018</v>
      </c>
      <c r="B75">
        <v>77.2</v>
      </c>
      <c r="C75">
        <f t="shared" si="2"/>
        <v>92.732732732732742</v>
      </c>
      <c r="D75">
        <f t="shared" si="3"/>
        <v>-4.6415678184631177E-3</v>
      </c>
    </row>
    <row r="76" spans="1:4" x14ac:dyDescent="0.25">
      <c r="A76" s="1">
        <v>45025</v>
      </c>
      <c r="B76">
        <v>77.819999999999993</v>
      </c>
      <c r="C76">
        <f t="shared" si="2"/>
        <v>93.477477477477464</v>
      </c>
      <c r="D76">
        <f t="shared" si="3"/>
        <v>8.0310880829014292E-3</v>
      </c>
    </row>
    <row r="77" spans="1:4" x14ac:dyDescent="0.25">
      <c r="A77" s="1">
        <v>45032</v>
      </c>
      <c r="B77">
        <v>77.91</v>
      </c>
      <c r="C77">
        <f t="shared" si="2"/>
        <v>93.585585585585591</v>
      </c>
      <c r="D77">
        <f t="shared" si="3"/>
        <v>1.1565150346954951E-3</v>
      </c>
    </row>
    <row r="78" spans="1:4" x14ac:dyDescent="0.25">
      <c r="A78" s="1">
        <v>45039</v>
      </c>
      <c r="B78">
        <v>77.77</v>
      </c>
      <c r="C78">
        <f t="shared" si="2"/>
        <v>93.417417417417411</v>
      </c>
      <c r="D78">
        <f t="shared" si="3"/>
        <v>-1.7969451931716157E-3</v>
      </c>
    </row>
    <row r="79" spans="1:4" x14ac:dyDescent="0.25">
      <c r="A79" s="1">
        <v>45046</v>
      </c>
      <c r="B79">
        <v>77.62</v>
      </c>
      <c r="C79">
        <f t="shared" si="2"/>
        <v>93.237237237237252</v>
      </c>
      <c r="D79">
        <f t="shared" si="3"/>
        <v>-1.9287643050018193E-3</v>
      </c>
    </row>
    <row r="80" spans="1:4" x14ac:dyDescent="0.25">
      <c r="A80" s="1">
        <v>45053</v>
      </c>
      <c r="B80">
        <v>78.510000000000005</v>
      </c>
      <c r="C80">
        <f t="shared" si="2"/>
        <v>94.306306306306311</v>
      </c>
      <c r="D80">
        <f t="shared" si="3"/>
        <v>1.1466116980159759E-2</v>
      </c>
    </row>
    <row r="81" spans="1:4" x14ac:dyDescent="0.25">
      <c r="A81" s="1">
        <v>45060</v>
      </c>
      <c r="B81">
        <v>79.900000000000006</v>
      </c>
      <c r="C81">
        <f t="shared" si="2"/>
        <v>95.975975975975985</v>
      </c>
      <c r="D81">
        <f t="shared" si="3"/>
        <v>1.7704750987135403E-2</v>
      </c>
    </row>
    <row r="82" spans="1:4" x14ac:dyDescent="0.25">
      <c r="A82" s="1">
        <v>45067</v>
      </c>
      <c r="B82">
        <v>80.28</v>
      </c>
      <c r="C82">
        <f t="shared" si="2"/>
        <v>96.432432432432435</v>
      </c>
      <c r="D82">
        <f t="shared" si="3"/>
        <v>4.7559449311638975E-3</v>
      </c>
    </row>
    <row r="83" spans="1:4" x14ac:dyDescent="0.25">
      <c r="A83" s="1">
        <v>45074</v>
      </c>
      <c r="B83">
        <v>81.540000000000006</v>
      </c>
      <c r="C83">
        <f t="shared" si="2"/>
        <v>97.945945945945951</v>
      </c>
      <c r="D83">
        <f t="shared" si="3"/>
        <v>1.5695067264574054E-2</v>
      </c>
    </row>
    <row r="84" spans="1:4" x14ac:dyDescent="0.25">
      <c r="A84" s="1">
        <v>45081</v>
      </c>
      <c r="B84">
        <v>81.72</v>
      </c>
      <c r="C84">
        <f t="shared" si="2"/>
        <v>98.162162162162161</v>
      </c>
      <c r="D84">
        <f t="shared" si="3"/>
        <v>2.2075055187637063E-3</v>
      </c>
    </row>
    <row r="85" spans="1:4" x14ac:dyDescent="0.25">
      <c r="A85" s="1">
        <v>45088</v>
      </c>
      <c r="B85">
        <v>82.75</v>
      </c>
      <c r="C85">
        <f t="shared" si="2"/>
        <v>99.3993993993994</v>
      </c>
      <c r="D85">
        <f t="shared" si="3"/>
        <v>1.2604013705335305E-2</v>
      </c>
    </row>
    <row r="86" spans="1:4" x14ac:dyDescent="0.25">
      <c r="A86" s="1">
        <v>45095</v>
      </c>
      <c r="B86">
        <v>81.2</v>
      </c>
      <c r="C86">
        <f t="shared" si="2"/>
        <v>97.537537537537546</v>
      </c>
      <c r="D86">
        <f t="shared" si="3"/>
        <v>-1.873111782477338E-2</v>
      </c>
    </row>
    <row r="87" spans="1:4" x14ac:dyDescent="0.25">
      <c r="A87" s="1">
        <v>45102</v>
      </c>
      <c r="B87">
        <v>82.75</v>
      </c>
      <c r="C87">
        <f t="shared" si="2"/>
        <v>99.3993993993994</v>
      </c>
      <c r="D87">
        <f t="shared" si="3"/>
        <v>1.9088669950738879E-2</v>
      </c>
    </row>
    <row r="88" spans="1:4" x14ac:dyDescent="0.25">
      <c r="A88" s="1">
        <v>45109</v>
      </c>
      <c r="B88">
        <v>81.599999999999994</v>
      </c>
      <c r="C88">
        <f t="shared" si="2"/>
        <v>98.018018018018012</v>
      </c>
      <c r="D88">
        <f t="shared" si="3"/>
        <v>-1.389728096676744E-2</v>
      </c>
    </row>
    <row r="89" spans="1:4" x14ac:dyDescent="0.25">
      <c r="A89" s="1">
        <v>45116</v>
      </c>
      <c r="B89">
        <v>82.02</v>
      </c>
      <c r="C89">
        <f t="shared" si="2"/>
        <v>98.522522522522522</v>
      </c>
      <c r="D89">
        <f t="shared" si="3"/>
        <v>5.1470588235294334E-3</v>
      </c>
    </row>
    <row r="90" spans="1:4" x14ac:dyDescent="0.25">
      <c r="A90" s="1">
        <v>45123</v>
      </c>
      <c r="B90">
        <v>83.25</v>
      </c>
      <c r="C90">
        <f t="shared" si="2"/>
        <v>100</v>
      </c>
      <c r="D90">
        <f t="shared" si="3"/>
        <v>1.4996342355523093E-2</v>
      </c>
    </row>
    <row r="91" spans="1:4" x14ac:dyDescent="0.25">
      <c r="A91" s="1">
        <v>45130</v>
      </c>
      <c r="B91">
        <v>84.65</v>
      </c>
      <c r="C91">
        <f t="shared" si="2"/>
        <v>101.68168168168168</v>
      </c>
      <c r="D91">
        <f t="shared" si="3"/>
        <v>1.6816816816816887E-2</v>
      </c>
    </row>
    <row r="92" spans="1:4" x14ac:dyDescent="0.25">
      <c r="A92" s="1">
        <v>45137</v>
      </c>
      <c r="B92">
        <v>83.18</v>
      </c>
      <c r="C92">
        <f t="shared" si="2"/>
        <v>99.915915915915917</v>
      </c>
      <c r="D92">
        <f t="shared" si="3"/>
        <v>-1.7365623154164192E-2</v>
      </c>
    </row>
    <row r="93" spans="1:4" x14ac:dyDescent="0.25">
      <c r="A93" s="1">
        <v>45144</v>
      </c>
      <c r="B93">
        <v>82.59</v>
      </c>
      <c r="C93">
        <f t="shared" si="2"/>
        <v>99.207207207207219</v>
      </c>
      <c r="D93">
        <f t="shared" si="3"/>
        <v>-7.0930512142342314E-3</v>
      </c>
    </row>
    <row r="94" spans="1:4" x14ac:dyDescent="0.25">
      <c r="A94" s="1">
        <v>45151</v>
      </c>
      <c r="B94">
        <v>81.209999999999994</v>
      </c>
      <c r="C94">
        <f t="shared" si="2"/>
        <v>97.549549549549539</v>
      </c>
      <c r="D94">
        <f t="shared" si="3"/>
        <v>-1.6709044678532625E-2</v>
      </c>
    </row>
    <row r="95" spans="1:4" x14ac:dyDescent="0.25">
      <c r="A95" s="1">
        <v>45158</v>
      </c>
      <c r="B95">
        <v>82.28</v>
      </c>
      <c r="C95">
        <f t="shared" si="2"/>
        <v>98.834834834834837</v>
      </c>
      <c r="D95">
        <f t="shared" si="3"/>
        <v>1.3175717276197605E-2</v>
      </c>
    </row>
    <row r="96" spans="1:4" x14ac:dyDescent="0.25">
      <c r="A96" s="1">
        <v>45165</v>
      </c>
      <c r="B96">
        <v>84.5</v>
      </c>
      <c r="C96">
        <f t="shared" si="2"/>
        <v>101.50150150150151</v>
      </c>
      <c r="D96">
        <f t="shared" si="3"/>
        <v>2.6981040350024292E-2</v>
      </c>
    </row>
    <row r="97" spans="1:4" x14ac:dyDescent="0.25">
      <c r="A97" s="1">
        <v>45172</v>
      </c>
      <c r="B97">
        <v>84.26</v>
      </c>
      <c r="C97">
        <f t="shared" si="2"/>
        <v>101.21321321321321</v>
      </c>
      <c r="D97">
        <f t="shared" si="3"/>
        <v>-2.8402366863904721E-3</v>
      </c>
    </row>
    <row r="98" spans="1:4" x14ac:dyDescent="0.25">
      <c r="A98" s="1">
        <v>45179</v>
      </c>
      <c r="B98">
        <v>84.9</v>
      </c>
      <c r="C98">
        <f t="shared" si="2"/>
        <v>101.98198198198199</v>
      </c>
      <c r="D98">
        <f t="shared" si="3"/>
        <v>7.5955376216472886E-3</v>
      </c>
    </row>
    <row r="99" spans="1:4" x14ac:dyDescent="0.25">
      <c r="A99" s="1">
        <v>45186</v>
      </c>
      <c r="B99">
        <v>83.05</v>
      </c>
      <c r="C99">
        <f t="shared" si="2"/>
        <v>99.75975975975976</v>
      </c>
      <c r="D99">
        <f t="shared" si="3"/>
        <v>-2.1790341578327543E-2</v>
      </c>
    </row>
    <row r="100" spans="1:4" x14ac:dyDescent="0.25">
      <c r="A100" s="1">
        <v>45193</v>
      </c>
      <c r="B100">
        <v>82.82</v>
      </c>
      <c r="C100">
        <f t="shared" si="2"/>
        <v>99.483483483483468</v>
      </c>
      <c r="D100">
        <f t="shared" si="3"/>
        <v>-2.7694160144491752E-3</v>
      </c>
    </row>
    <row r="101" spans="1:4" x14ac:dyDescent="0.25">
      <c r="A101" s="1">
        <v>45200</v>
      </c>
      <c r="B101">
        <v>81.97</v>
      </c>
      <c r="C101">
        <f t="shared" si="2"/>
        <v>98.462462462462469</v>
      </c>
      <c r="D101">
        <f t="shared" si="3"/>
        <v>-1.0263221444095562E-2</v>
      </c>
    </row>
    <row r="102" spans="1:4" x14ac:dyDescent="0.25">
      <c r="A102" s="1">
        <v>45207</v>
      </c>
      <c r="B102">
        <v>83.46</v>
      </c>
      <c r="C102">
        <f t="shared" si="2"/>
        <v>100.25225225225225</v>
      </c>
      <c r="D102">
        <f t="shared" si="3"/>
        <v>1.8177381969012991E-2</v>
      </c>
    </row>
    <row r="103" spans="1:4" x14ac:dyDescent="0.25">
      <c r="A103" s="1">
        <v>45214</v>
      </c>
      <c r="B103">
        <v>80.739999999999995</v>
      </c>
      <c r="C103">
        <f t="shared" si="2"/>
        <v>96.984984984984976</v>
      </c>
      <c r="D103">
        <f t="shared" si="3"/>
        <v>-3.2590462497004542E-2</v>
      </c>
    </row>
    <row r="104" spans="1:4" x14ac:dyDescent="0.25">
      <c r="A104" s="1">
        <v>45221</v>
      </c>
      <c r="B104">
        <v>79.239999999999995</v>
      </c>
      <c r="C104">
        <f t="shared" si="2"/>
        <v>95.183183183183175</v>
      </c>
      <c r="D104">
        <f t="shared" si="3"/>
        <v>-1.857815209313847E-2</v>
      </c>
    </row>
    <row r="105" spans="1:4" x14ac:dyDescent="0.25">
      <c r="A105" s="1">
        <v>45228</v>
      </c>
      <c r="B105">
        <v>82.52</v>
      </c>
      <c r="C105">
        <f t="shared" si="2"/>
        <v>99.123123123123108</v>
      </c>
      <c r="D105">
        <f t="shared" si="3"/>
        <v>4.1393235739525511E-2</v>
      </c>
    </row>
    <row r="106" spans="1:4" x14ac:dyDescent="0.25">
      <c r="A106" s="1">
        <v>45235</v>
      </c>
      <c r="B106">
        <v>82.7</v>
      </c>
      <c r="C106">
        <f t="shared" si="2"/>
        <v>99.339339339339332</v>
      </c>
      <c r="D106">
        <f t="shared" si="3"/>
        <v>2.1812893843917453E-3</v>
      </c>
    </row>
    <row r="107" spans="1:4" x14ac:dyDescent="0.25">
      <c r="A107" s="1">
        <v>45242</v>
      </c>
      <c r="B107">
        <v>83.95</v>
      </c>
      <c r="C107">
        <f t="shared" si="2"/>
        <v>100.84084084084084</v>
      </c>
      <c r="D107">
        <f t="shared" si="3"/>
        <v>1.5114873035066504E-2</v>
      </c>
    </row>
    <row r="108" spans="1:4" x14ac:dyDescent="0.25">
      <c r="A108" s="1">
        <v>45249</v>
      </c>
      <c r="B108">
        <v>84.51</v>
      </c>
      <c r="C108">
        <f t="shared" si="2"/>
        <v>101.51351351351352</v>
      </c>
      <c r="D108">
        <f t="shared" si="3"/>
        <v>6.6706372840977038E-3</v>
      </c>
    </row>
    <row r="109" spans="1:4" x14ac:dyDescent="0.25">
      <c r="A109" s="1">
        <v>45256</v>
      </c>
      <c r="B109">
        <v>85.54</v>
      </c>
      <c r="C109">
        <f t="shared" si="2"/>
        <v>102.75075075075075</v>
      </c>
      <c r="D109">
        <f t="shared" si="3"/>
        <v>1.2187906756596865E-2</v>
      </c>
    </row>
    <row r="110" spans="1:4" x14ac:dyDescent="0.25">
      <c r="A110" s="1">
        <v>45263</v>
      </c>
      <c r="B110">
        <v>86.65</v>
      </c>
      <c r="C110">
        <f t="shared" si="2"/>
        <v>104.0840840840841</v>
      </c>
      <c r="D110">
        <f t="shared" si="3"/>
        <v>1.2976385316810841E-2</v>
      </c>
    </row>
    <row r="111" spans="1:4" x14ac:dyDescent="0.25">
      <c r="A111" s="1">
        <v>45270</v>
      </c>
      <c r="B111">
        <v>87.85</v>
      </c>
      <c r="C111">
        <f t="shared" si="2"/>
        <v>105.52552552552552</v>
      </c>
      <c r="D111">
        <f t="shared" si="3"/>
        <v>1.38488170802076E-2</v>
      </c>
    </row>
    <row r="112" spans="1:4" x14ac:dyDescent="0.25">
      <c r="A112" s="1">
        <v>45277</v>
      </c>
      <c r="B112">
        <v>87.93</v>
      </c>
      <c r="C112">
        <f t="shared" si="2"/>
        <v>105.62162162162163</v>
      </c>
      <c r="D112">
        <f t="shared" si="3"/>
        <v>9.1064314171898132E-4</v>
      </c>
    </row>
    <row r="113" spans="1:4" x14ac:dyDescent="0.25">
      <c r="A113" s="1">
        <v>45284</v>
      </c>
      <c r="B113">
        <v>88.24</v>
      </c>
      <c r="C113">
        <f t="shared" si="2"/>
        <v>105.99399399399398</v>
      </c>
      <c r="D113">
        <f t="shared" si="3"/>
        <v>3.525531672921506E-3</v>
      </c>
    </row>
    <row r="114" spans="1:4" x14ac:dyDescent="0.25">
      <c r="A114" s="1">
        <v>45291</v>
      </c>
      <c r="B114">
        <v>87.53</v>
      </c>
      <c r="C114">
        <f t="shared" si="2"/>
        <v>105.14114114114115</v>
      </c>
      <c r="D114">
        <f t="shared" si="3"/>
        <v>-8.046237533998116E-3</v>
      </c>
    </row>
    <row r="115" spans="1:4" x14ac:dyDescent="0.25">
      <c r="A115" s="1">
        <v>45298</v>
      </c>
      <c r="B115">
        <v>88.66</v>
      </c>
      <c r="C115">
        <f t="shared" si="2"/>
        <v>106.49849849849848</v>
      </c>
      <c r="D115">
        <f t="shared" si="3"/>
        <v>1.2909859476750777E-2</v>
      </c>
    </row>
    <row r="116" spans="1:4" x14ac:dyDescent="0.25">
      <c r="A116" s="1">
        <v>45305</v>
      </c>
      <c r="B116">
        <v>89.03</v>
      </c>
      <c r="C116">
        <f t="shared" si="2"/>
        <v>106.94294294294295</v>
      </c>
      <c r="D116">
        <f t="shared" si="3"/>
        <v>4.1732461087300313E-3</v>
      </c>
    </row>
    <row r="117" spans="1:4" x14ac:dyDescent="0.25">
      <c r="A117" s="1">
        <v>45312</v>
      </c>
      <c r="B117">
        <v>91.12</v>
      </c>
      <c r="C117">
        <f t="shared" si="2"/>
        <v>109.45345345345345</v>
      </c>
      <c r="D117">
        <f t="shared" si="3"/>
        <v>2.3475233067505374E-2</v>
      </c>
    </row>
    <row r="118" spans="1:4" x14ac:dyDescent="0.25">
      <c r="A118" s="1">
        <v>45319</v>
      </c>
      <c r="B118">
        <v>92.25</v>
      </c>
      <c r="C118">
        <f t="shared" si="2"/>
        <v>110.81081081081081</v>
      </c>
      <c r="D118">
        <f t="shared" si="3"/>
        <v>1.2401229148375718E-2</v>
      </c>
    </row>
    <row r="119" spans="1:4" x14ac:dyDescent="0.25">
      <c r="A119" s="1">
        <v>45326</v>
      </c>
      <c r="B119">
        <v>93.2</v>
      </c>
      <c r="C119">
        <f t="shared" si="2"/>
        <v>111.95195195195195</v>
      </c>
      <c r="D119">
        <f t="shared" si="3"/>
        <v>1.0298102981029841E-2</v>
      </c>
    </row>
    <row r="120" spans="1:4" x14ac:dyDescent="0.25">
      <c r="A120" s="1">
        <v>45333</v>
      </c>
      <c r="B120">
        <v>94.01</v>
      </c>
      <c r="C120">
        <f t="shared" si="2"/>
        <v>112.92492492492494</v>
      </c>
      <c r="D120">
        <f t="shared" si="3"/>
        <v>8.6909871244635426E-3</v>
      </c>
    </row>
    <row r="121" spans="1:4" x14ac:dyDescent="0.25">
      <c r="A121" s="1">
        <v>45340</v>
      </c>
      <c r="B121">
        <v>94.71</v>
      </c>
      <c r="C121">
        <f t="shared" si="2"/>
        <v>113.76576576576576</v>
      </c>
      <c r="D121">
        <f t="shared" si="3"/>
        <v>7.4460163812359176E-3</v>
      </c>
    </row>
    <row r="122" spans="1:4" x14ac:dyDescent="0.25">
      <c r="A122" s="1">
        <v>45347</v>
      </c>
      <c r="B122">
        <v>95.14</v>
      </c>
      <c r="C122">
        <f t="shared" si="2"/>
        <v>114.28228228228228</v>
      </c>
      <c r="D122">
        <f t="shared" si="3"/>
        <v>4.5401752718826609E-3</v>
      </c>
    </row>
    <row r="123" spans="1:4" x14ac:dyDescent="0.25">
      <c r="A123" s="1">
        <v>45354</v>
      </c>
      <c r="B123">
        <v>95.26</v>
      </c>
      <c r="C123">
        <f t="shared" si="2"/>
        <v>114.42642642642645</v>
      </c>
      <c r="D123">
        <f t="shared" si="3"/>
        <v>1.2612991381123035E-3</v>
      </c>
    </row>
    <row r="124" spans="1:4" x14ac:dyDescent="0.25">
      <c r="A124" s="1">
        <v>45361</v>
      </c>
      <c r="B124">
        <v>94.97</v>
      </c>
      <c r="C124">
        <f t="shared" si="2"/>
        <v>114.07807807807808</v>
      </c>
      <c r="D124">
        <f t="shared" si="3"/>
        <v>-3.0442998110435256E-3</v>
      </c>
    </row>
    <row r="125" spans="1:4" x14ac:dyDescent="0.25">
      <c r="A125" s="1">
        <v>45368</v>
      </c>
      <c r="B125">
        <v>97.5</v>
      </c>
      <c r="C125">
        <f t="shared" si="2"/>
        <v>117.11711711711712</v>
      </c>
      <c r="D125">
        <f t="shared" si="3"/>
        <v>2.6639991576287259E-2</v>
      </c>
    </row>
    <row r="126" spans="1:4" x14ac:dyDescent="0.25">
      <c r="A126" s="1">
        <v>45375</v>
      </c>
      <c r="B126">
        <v>98.01</v>
      </c>
      <c r="C126">
        <f t="shared" si="2"/>
        <v>117.72972972972973</v>
      </c>
      <c r="D126">
        <f t="shared" si="3"/>
        <v>5.2307692307692836E-3</v>
      </c>
    </row>
    <row r="127" spans="1:4" x14ac:dyDescent="0.25">
      <c r="A127" s="1">
        <v>45382</v>
      </c>
      <c r="B127">
        <v>96.75</v>
      </c>
      <c r="C127">
        <f t="shared" si="2"/>
        <v>116.21621621621621</v>
      </c>
      <c r="D127">
        <f t="shared" si="3"/>
        <v>-1.2855831037649271E-2</v>
      </c>
    </row>
    <row r="128" spans="1:4" x14ac:dyDescent="0.25">
      <c r="A128" s="1">
        <v>45389</v>
      </c>
      <c r="B128">
        <v>97.49</v>
      </c>
      <c r="C128">
        <f t="shared" si="2"/>
        <v>117.1051051051051</v>
      </c>
      <c r="D128">
        <f t="shared" si="3"/>
        <v>7.6485788113694565E-3</v>
      </c>
    </row>
    <row r="129" spans="1:4" x14ac:dyDescent="0.25">
      <c r="A129" s="1">
        <v>45396</v>
      </c>
      <c r="B129">
        <v>94.48</v>
      </c>
      <c r="C129">
        <f t="shared" si="2"/>
        <v>113.48948948948949</v>
      </c>
      <c r="D129">
        <f t="shared" si="3"/>
        <v>-3.0874961534516267E-2</v>
      </c>
    </row>
    <row r="130" spans="1:4" x14ac:dyDescent="0.25">
      <c r="A130" s="1">
        <v>45403</v>
      </c>
      <c r="B130">
        <v>96.32</v>
      </c>
      <c r="C130">
        <f t="shared" si="2"/>
        <v>115.69969969969969</v>
      </c>
      <c r="D130">
        <f t="shared" si="3"/>
        <v>1.9475021168501156E-2</v>
      </c>
    </row>
    <row r="131" spans="1:4" x14ac:dyDescent="0.25">
      <c r="A131" s="1">
        <v>45410</v>
      </c>
      <c r="B131">
        <v>96.09</v>
      </c>
      <c r="C131">
        <f t="shared" ref="C131:C194" si="4">100*(B131/$B$2)</f>
        <v>115.42342342342342</v>
      </c>
      <c r="D131">
        <f t="shared" si="3"/>
        <v>-2.3878737541527177E-3</v>
      </c>
    </row>
    <row r="132" spans="1:4" x14ac:dyDescent="0.25">
      <c r="A132" s="1">
        <v>45417</v>
      </c>
      <c r="B132">
        <v>97.98</v>
      </c>
      <c r="C132">
        <f t="shared" si="4"/>
        <v>117.69369369369369</v>
      </c>
      <c r="D132">
        <f t="shared" ref="D132:D195" si="5">(B132-B131)/B131</f>
        <v>1.9669060256009997E-2</v>
      </c>
    </row>
    <row r="133" spans="1:4" x14ac:dyDescent="0.25">
      <c r="A133" s="1">
        <v>45424</v>
      </c>
      <c r="B133">
        <v>98.59</v>
      </c>
      <c r="C133">
        <f t="shared" si="4"/>
        <v>118.42642642642642</v>
      </c>
      <c r="D133">
        <f t="shared" si="5"/>
        <v>6.2257603592569856E-3</v>
      </c>
    </row>
    <row r="134" spans="1:4" x14ac:dyDescent="0.25">
      <c r="A134" s="1">
        <v>45431</v>
      </c>
      <c r="B134">
        <v>98.71</v>
      </c>
      <c r="C134">
        <f t="shared" si="4"/>
        <v>118.57057057057057</v>
      </c>
      <c r="D134">
        <f t="shared" si="5"/>
        <v>1.2171619839739358E-3</v>
      </c>
    </row>
    <row r="135" spans="1:4" x14ac:dyDescent="0.25">
      <c r="A135" s="1">
        <v>45438</v>
      </c>
      <c r="B135">
        <v>97.33</v>
      </c>
      <c r="C135">
        <f t="shared" si="4"/>
        <v>116.9129129129129</v>
      </c>
      <c r="D135">
        <f t="shared" si="5"/>
        <v>-1.3980346469455937E-2</v>
      </c>
    </row>
    <row r="136" spans="1:4" x14ac:dyDescent="0.25">
      <c r="A136" s="1">
        <v>45445</v>
      </c>
      <c r="B136">
        <v>99.8</v>
      </c>
      <c r="C136">
        <f t="shared" si="4"/>
        <v>119.87987987987987</v>
      </c>
      <c r="D136">
        <f t="shared" si="5"/>
        <v>2.5377581424021359E-2</v>
      </c>
    </row>
    <row r="137" spans="1:4" x14ac:dyDescent="0.25">
      <c r="A137" s="1">
        <v>45452</v>
      </c>
      <c r="B137">
        <v>100.88</v>
      </c>
      <c r="C137">
        <f t="shared" si="4"/>
        <v>121.17717717717717</v>
      </c>
      <c r="D137">
        <f t="shared" si="5"/>
        <v>1.0821643286573129E-2</v>
      </c>
    </row>
    <row r="138" spans="1:4" x14ac:dyDescent="0.25">
      <c r="A138" s="1">
        <v>45459</v>
      </c>
      <c r="B138">
        <v>101.63</v>
      </c>
      <c r="C138">
        <f t="shared" si="4"/>
        <v>122.07807807807806</v>
      </c>
      <c r="D138">
        <f t="shared" si="5"/>
        <v>7.4345757335448062E-3</v>
      </c>
    </row>
    <row r="139" spans="1:4" x14ac:dyDescent="0.25">
      <c r="A139" s="1">
        <v>45466</v>
      </c>
      <c r="B139">
        <v>102.06</v>
      </c>
      <c r="C139">
        <f t="shared" si="4"/>
        <v>122.59459459459461</v>
      </c>
      <c r="D139">
        <f t="shared" si="5"/>
        <v>4.2310341434616434E-3</v>
      </c>
    </row>
    <row r="140" spans="1:4" x14ac:dyDescent="0.25">
      <c r="A140" s="1">
        <v>45473</v>
      </c>
      <c r="B140">
        <v>102.17</v>
      </c>
      <c r="C140">
        <f t="shared" si="4"/>
        <v>122.72672672672672</v>
      </c>
      <c r="D140">
        <f t="shared" si="5"/>
        <v>1.0777973740936648E-3</v>
      </c>
    </row>
    <row r="141" spans="1:4" x14ac:dyDescent="0.25">
      <c r="A141" s="1">
        <v>45480</v>
      </c>
      <c r="B141">
        <v>103.29</v>
      </c>
      <c r="C141">
        <f t="shared" si="4"/>
        <v>124.07207207207207</v>
      </c>
      <c r="D141">
        <f t="shared" si="5"/>
        <v>1.0962121953606779E-2</v>
      </c>
    </row>
    <row r="142" spans="1:4" x14ac:dyDescent="0.25">
      <c r="A142" s="1">
        <v>45487</v>
      </c>
      <c r="B142">
        <v>101.14</v>
      </c>
      <c r="C142">
        <f t="shared" si="4"/>
        <v>121.4894894894895</v>
      </c>
      <c r="D142">
        <f t="shared" si="5"/>
        <v>-2.0815180559589558E-2</v>
      </c>
    </row>
    <row r="143" spans="1:4" x14ac:dyDescent="0.25">
      <c r="A143" s="1">
        <v>45494</v>
      </c>
      <c r="B143">
        <v>100.47</v>
      </c>
      <c r="C143">
        <f t="shared" si="4"/>
        <v>120.68468468468467</v>
      </c>
      <c r="D143">
        <f t="shared" si="5"/>
        <v>-6.6244809175400607E-3</v>
      </c>
    </row>
    <row r="144" spans="1:4" x14ac:dyDescent="0.25">
      <c r="A144" s="1">
        <v>45501</v>
      </c>
      <c r="B144">
        <v>97.34</v>
      </c>
      <c r="C144">
        <f t="shared" si="4"/>
        <v>116.92492492492492</v>
      </c>
      <c r="D144">
        <f t="shared" si="5"/>
        <v>-3.1153578182542007E-2</v>
      </c>
    </row>
    <row r="145" spans="1:4" x14ac:dyDescent="0.25">
      <c r="A145" s="1">
        <v>45508</v>
      </c>
      <c r="B145">
        <v>97.62</v>
      </c>
      <c r="C145">
        <f t="shared" si="4"/>
        <v>117.26126126126127</v>
      </c>
      <c r="D145">
        <f t="shared" si="5"/>
        <v>2.8765153071707533E-3</v>
      </c>
    </row>
    <row r="146" spans="1:4" x14ac:dyDescent="0.25">
      <c r="A146" s="1">
        <v>45515</v>
      </c>
      <c r="B146">
        <v>100.91</v>
      </c>
      <c r="C146">
        <f t="shared" si="4"/>
        <v>121.21321321321321</v>
      </c>
      <c r="D146">
        <f t="shared" si="5"/>
        <v>3.3702110223314811E-2</v>
      </c>
    </row>
    <row r="147" spans="1:4" x14ac:dyDescent="0.25">
      <c r="A147" s="1">
        <v>45522</v>
      </c>
      <c r="B147">
        <v>101.22</v>
      </c>
      <c r="C147">
        <f t="shared" si="4"/>
        <v>121.58558558558559</v>
      </c>
      <c r="D147">
        <f t="shared" si="5"/>
        <v>3.0720443959964551E-3</v>
      </c>
    </row>
    <row r="148" spans="1:4" x14ac:dyDescent="0.25">
      <c r="A148" s="1">
        <v>45529</v>
      </c>
      <c r="B148">
        <v>102.07</v>
      </c>
      <c r="C148">
        <f t="shared" si="4"/>
        <v>122.6066066066066</v>
      </c>
      <c r="D148">
        <f t="shared" si="5"/>
        <v>8.3975498913257691E-3</v>
      </c>
    </row>
    <row r="149" spans="1:4" x14ac:dyDescent="0.25">
      <c r="A149" s="1">
        <v>45536</v>
      </c>
      <c r="B149">
        <v>98.49</v>
      </c>
      <c r="C149">
        <f t="shared" si="4"/>
        <v>118.3063063063063</v>
      </c>
      <c r="D149">
        <f t="shared" si="5"/>
        <v>-3.507396884491034E-2</v>
      </c>
    </row>
    <row r="150" spans="1:4" x14ac:dyDescent="0.25">
      <c r="A150" s="1">
        <v>45543</v>
      </c>
      <c r="B150">
        <v>101.88</v>
      </c>
      <c r="C150">
        <f t="shared" si="4"/>
        <v>122.37837837837837</v>
      </c>
      <c r="D150">
        <f t="shared" si="5"/>
        <v>3.4419738044471529E-2</v>
      </c>
    </row>
    <row r="151" spans="1:4" x14ac:dyDescent="0.25">
      <c r="A151" s="1">
        <v>45550</v>
      </c>
      <c r="B151">
        <v>102.25</v>
      </c>
      <c r="C151">
        <f t="shared" si="4"/>
        <v>122.82282282282281</v>
      </c>
      <c r="D151">
        <f t="shared" si="5"/>
        <v>3.6317235963879519E-3</v>
      </c>
    </row>
    <row r="152" spans="1:4" x14ac:dyDescent="0.25">
      <c r="A152" s="1">
        <v>45557</v>
      </c>
      <c r="B152">
        <v>103.69</v>
      </c>
      <c r="C152">
        <f t="shared" si="4"/>
        <v>124.55255255255256</v>
      </c>
      <c r="D152">
        <f t="shared" si="5"/>
        <v>1.4083129584352056E-2</v>
      </c>
    </row>
    <row r="153" spans="1:4" x14ac:dyDescent="0.25">
      <c r="A153" s="1">
        <v>45564</v>
      </c>
      <c r="B153">
        <v>104.4</v>
      </c>
      <c r="C153">
        <f t="shared" si="4"/>
        <v>125.40540540540542</v>
      </c>
      <c r="D153">
        <f t="shared" si="5"/>
        <v>6.8473333976276207E-3</v>
      </c>
    </row>
    <row r="154" spans="1:4" x14ac:dyDescent="0.25">
      <c r="A154" s="1">
        <v>45571</v>
      </c>
      <c r="B154">
        <v>106.03</v>
      </c>
      <c r="C154">
        <f t="shared" si="4"/>
        <v>127.36336336336336</v>
      </c>
      <c r="D154">
        <f t="shared" si="5"/>
        <v>1.5613026819923327E-2</v>
      </c>
    </row>
    <row r="155" spans="1:4" x14ac:dyDescent="0.25">
      <c r="A155" s="1">
        <v>45578</v>
      </c>
      <c r="B155">
        <v>107.44</v>
      </c>
      <c r="C155">
        <f t="shared" si="4"/>
        <v>129.05705705705705</v>
      </c>
      <c r="D155">
        <f t="shared" si="5"/>
        <v>1.3298123172686943E-2</v>
      </c>
    </row>
    <row r="156" spans="1:4" x14ac:dyDescent="0.25">
      <c r="A156" s="1">
        <v>45585</v>
      </c>
      <c r="B156">
        <v>107.03</v>
      </c>
      <c r="C156">
        <f t="shared" si="4"/>
        <v>128.56456456456456</v>
      </c>
      <c r="D156">
        <f t="shared" si="5"/>
        <v>-3.8160833953834383E-3</v>
      </c>
    </row>
    <row r="157" spans="1:4" x14ac:dyDescent="0.25">
      <c r="A157" s="1">
        <v>45592</v>
      </c>
      <c r="B157">
        <v>105.39</v>
      </c>
      <c r="C157">
        <f t="shared" si="4"/>
        <v>126.59459459459458</v>
      </c>
      <c r="D157">
        <f t="shared" si="5"/>
        <v>-1.532280668971317E-2</v>
      </c>
    </row>
    <row r="158" spans="1:4" x14ac:dyDescent="0.25">
      <c r="A158" s="1">
        <v>45599</v>
      </c>
      <c r="B158">
        <v>109.83</v>
      </c>
      <c r="C158">
        <f t="shared" si="4"/>
        <v>131.92792792792793</v>
      </c>
      <c r="D158">
        <f t="shared" si="5"/>
        <v>4.212923427270137E-2</v>
      </c>
    </row>
    <row r="159" spans="1:4" x14ac:dyDescent="0.25">
      <c r="A159" s="1">
        <v>45606</v>
      </c>
      <c r="B159">
        <v>109.5</v>
      </c>
      <c r="C159">
        <f t="shared" si="4"/>
        <v>131.53153153153156</v>
      </c>
      <c r="D159">
        <f t="shared" si="5"/>
        <v>-3.0046435400163736E-3</v>
      </c>
    </row>
    <row r="160" spans="1:4" x14ac:dyDescent="0.25">
      <c r="A160" s="1">
        <v>45613</v>
      </c>
      <c r="B160">
        <v>112.52</v>
      </c>
      <c r="C160">
        <f t="shared" si="4"/>
        <v>135.15915915915915</v>
      </c>
      <c r="D160">
        <f t="shared" si="5"/>
        <v>2.7579908675799049E-2</v>
      </c>
    </row>
    <row r="161" spans="1:4" x14ac:dyDescent="0.25">
      <c r="A161" s="1">
        <v>45620</v>
      </c>
      <c r="B161">
        <v>112.51</v>
      </c>
      <c r="C161">
        <f t="shared" si="4"/>
        <v>135.14714714714714</v>
      </c>
      <c r="D161">
        <f t="shared" si="5"/>
        <v>-8.8873089228500756E-5</v>
      </c>
    </row>
    <row r="162" spans="1:4" x14ac:dyDescent="0.25">
      <c r="A162" s="1">
        <v>45627</v>
      </c>
      <c r="B162">
        <v>113.67</v>
      </c>
      <c r="C162">
        <f t="shared" si="4"/>
        <v>136.54054054054055</v>
      </c>
      <c r="D162">
        <f t="shared" si="5"/>
        <v>1.031019464936447E-2</v>
      </c>
    </row>
    <row r="163" spans="1:4" x14ac:dyDescent="0.25">
      <c r="A163" s="1">
        <v>45634</v>
      </c>
      <c r="B163">
        <v>113.29</v>
      </c>
      <c r="C163">
        <f t="shared" si="4"/>
        <v>136.08408408408411</v>
      </c>
      <c r="D163">
        <f t="shared" si="5"/>
        <v>-3.3430104689011653E-3</v>
      </c>
    </row>
    <row r="164" spans="1:4" x14ac:dyDescent="0.25">
      <c r="A164" s="1">
        <v>45641</v>
      </c>
      <c r="B164">
        <v>111.85</v>
      </c>
      <c r="C164">
        <f t="shared" si="4"/>
        <v>134.35435435435434</v>
      </c>
      <c r="D164">
        <f t="shared" si="5"/>
        <v>-1.2710742342660534E-2</v>
      </c>
    </row>
    <row r="165" spans="1:4" x14ac:dyDescent="0.25">
      <c r="A165" s="1">
        <v>45648</v>
      </c>
      <c r="B165">
        <v>112.18</v>
      </c>
      <c r="C165">
        <f t="shared" si="4"/>
        <v>134.75075075075077</v>
      </c>
      <c r="D165">
        <f t="shared" si="5"/>
        <v>2.9503799731784757E-3</v>
      </c>
    </row>
    <row r="166" spans="1:4" x14ac:dyDescent="0.25">
      <c r="A166" s="1">
        <v>45655</v>
      </c>
      <c r="B166">
        <v>112.86</v>
      </c>
      <c r="C166">
        <f t="shared" si="4"/>
        <v>135.56756756756755</v>
      </c>
      <c r="D166">
        <f t="shared" si="5"/>
        <v>6.0616865751470187E-3</v>
      </c>
    </row>
    <row r="167" spans="1:4" x14ac:dyDescent="0.25">
      <c r="A167" s="1">
        <v>45662</v>
      </c>
      <c r="B167">
        <v>111.79</v>
      </c>
      <c r="C167">
        <f t="shared" si="4"/>
        <v>134.2822822822823</v>
      </c>
      <c r="D167">
        <f t="shared" si="5"/>
        <v>-9.4807726386673154E-3</v>
      </c>
    </row>
    <row r="168" spans="1:4" x14ac:dyDescent="0.25">
      <c r="A168" s="1">
        <v>45669</v>
      </c>
      <c r="B168">
        <v>114.57</v>
      </c>
      <c r="C168">
        <f t="shared" si="4"/>
        <v>137.62162162162161</v>
      </c>
      <c r="D168">
        <f t="shared" si="5"/>
        <v>2.4868056176759877E-2</v>
      </c>
    </row>
    <row r="169" spans="1:4" x14ac:dyDescent="0.25">
      <c r="A169" s="1">
        <v>45676</v>
      </c>
      <c r="B169">
        <v>114.68</v>
      </c>
      <c r="C169">
        <f t="shared" si="4"/>
        <v>137.75375375375376</v>
      </c>
      <c r="D169">
        <f t="shared" si="5"/>
        <v>9.6011172209141708E-4</v>
      </c>
    </row>
    <row r="170" spans="1:4" x14ac:dyDescent="0.25">
      <c r="A170" s="1">
        <v>45683</v>
      </c>
      <c r="B170">
        <v>116.12</v>
      </c>
      <c r="C170">
        <f t="shared" si="4"/>
        <v>139.4834834834835</v>
      </c>
      <c r="D170">
        <f t="shared" si="5"/>
        <v>1.2556679455877203E-2</v>
      </c>
    </row>
    <row r="171" spans="1:4" x14ac:dyDescent="0.25">
      <c r="A171" s="1">
        <v>45690</v>
      </c>
      <c r="B171">
        <v>115.85</v>
      </c>
      <c r="C171">
        <f t="shared" si="4"/>
        <v>139.15915915915915</v>
      </c>
      <c r="D171">
        <f t="shared" si="5"/>
        <v>-2.32518084739933E-3</v>
      </c>
    </row>
    <row r="172" spans="1:4" x14ac:dyDescent="0.25">
      <c r="A172" s="1">
        <v>45697</v>
      </c>
      <c r="B172">
        <v>115.79</v>
      </c>
      <c r="C172">
        <f t="shared" si="4"/>
        <v>139.0870870870871</v>
      </c>
      <c r="D172">
        <f t="shared" si="5"/>
        <v>-5.1791109192911582E-4</v>
      </c>
    </row>
    <row r="173" spans="1:4" x14ac:dyDescent="0.25">
      <c r="A173" s="1">
        <v>45704</v>
      </c>
      <c r="B173">
        <v>115.85</v>
      </c>
      <c r="C173">
        <f t="shared" si="4"/>
        <v>139.15915915915915</v>
      </c>
      <c r="D173">
        <f t="shared" si="5"/>
        <v>5.1817946282052042E-4</v>
      </c>
    </row>
    <row r="174" spans="1:4" x14ac:dyDescent="0.25">
      <c r="A174" s="1">
        <v>45711</v>
      </c>
      <c r="B174">
        <v>113.14</v>
      </c>
      <c r="C174">
        <f t="shared" si="4"/>
        <v>135.90390390390391</v>
      </c>
      <c r="D174">
        <f t="shared" si="5"/>
        <v>-2.339231765213633E-2</v>
      </c>
    </row>
    <row r="175" spans="1:4" x14ac:dyDescent="0.25">
      <c r="A175" s="1">
        <v>45718</v>
      </c>
      <c r="B175">
        <v>106.23</v>
      </c>
      <c r="C175">
        <f t="shared" si="4"/>
        <v>127.60360360360362</v>
      </c>
      <c r="D175">
        <f t="shared" si="5"/>
        <v>-6.1074774615520563E-2</v>
      </c>
    </row>
    <row r="176" spans="1:4" x14ac:dyDescent="0.25">
      <c r="A176" s="1">
        <v>45725</v>
      </c>
      <c r="B176">
        <v>105</v>
      </c>
      <c r="C176">
        <f t="shared" si="4"/>
        <v>126.12612612612612</v>
      </c>
      <c r="D176">
        <f t="shared" si="5"/>
        <v>-1.1578650098842172E-2</v>
      </c>
    </row>
    <row r="177" spans="1:4" x14ac:dyDescent="0.25">
      <c r="A177" s="1">
        <v>45732</v>
      </c>
      <c r="B177">
        <v>106.18</v>
      </c>
      <c r="C177">
        <f t="shared" si="4"/>
        <v>127.54354354354356</v>
      </c>
      <c r="D177">
        <f t="shared" si="5"/>
        <v>1.1238095238095304E-2</v>
      </c>
    </row>
    <row r="178" spans="1:4" x14ac:dyDescent="0.25">
      <c r="A178" s="1">
        <v>45739</v>
      </c>
      <c r="B178">
        <v>105.01</v>
      </c>
      <c r="C178">
        <f t="shared" si="4"/>
        <v>126.13813813813815</v>
      </c>
      <c r="D178">
        <f t="shared" si="5"/>
        <v>-1.1019024298361289E-2</v>
      </c>
    </row>
    <row r="179" spans="1:4" x14ac:dyDescent="0.25">
      <c r="A179" s="1">
        <v>45746</v>
      </c>
      <c r="B179">
        <v>95.63</v>
      </c>
      <c r="C179">
        <f t="shared" si="4"/>
        <v>114.87087087087087</v>
      </c>
      <c r="D179">
        <f t="shared" si="5"/>
        <v>-8.9324826207027988E-2</v>
      </c>
    </row>
    <row r="180" spans="1:4" x14ac:dyDescent="0.25">
      <c r="A180" s="1">
        <v>45753</v>
      </c>
      <c r="B180">
        <v>94.27</v>
      </c>
      <c r="C180">
        <f t="shared" si="4"/>
        <v>113.23723723723724</v>
      </c>
      <c r="D180">
        <f t="shared" si="5"/>
        <v>-1.4221478615497224E-2</v>
      </c>
    </row>
    <row r="181" spans="1:4" x14ac:dyDescent="0.25">
      <c r="A181" s="1">
        <v>45760</v>
      </c>
      <c r="B181">
        <v>95.78</v>
      </c>
      <c r="C181">
        <f t="shared" si="4"/>
        <v>115.05105105105105</v>
      </c>
      <c r="D181">
        <f t="shared" si="5"/>
        <v>1.6017821152010239E-2</v>
      </c>
    </row>
    <row r="182" spans="1:4" x14ac:dyDescent="0.25">
      <c r="A182" s="1">
        <v>45767</v>
      </c>
      <c r="B182">
        <v>99.12</v>
      </c>
      <c r="C182">
        <f t="shared" si="4"/>
        <v>119.06306306306307</v>
      </c>
      <c r="D182">
        <f t="shared" si="5"/>
        <v>3.4871580705784125E-2</v>
      </c>
    </row>
    <row r="183" spans="1:4" x14ac:dyDescent="0.25">
      <c r="A183" s="1">
        <v>45774</v>
      </c>
      <c r="B183">
        <v>102.69</v>
      </c>
      <c r="C183">
        <f t="shared" si="4"/>
        <v>123.35135135135135</v>
      </c>
      <c r="D183">
        <f t="shared" si="5"/>
        <v>3.6016949152542305E-2</v>
      </c>
    </row>
    <row r="184" spans="1:4" x14ac:dyDescent="0.25">
      <c r="A184" s="1">
        <v>45781</v>
      </c>
      <c r="B184">
        <v>103.37</v>
      </c>
      <c r="C184">
        <f t="shared" si="4"/>
        <v>124.16816816816818</v>
      </c>
      <c r="D184">
        <f t="shared" si="5"/>
        <v>6.6218716525465659E-3</v>
      </c>
    </row>
    <row r="185" spans="1:4" x14ac:dyDescent="0.25">
      <c r="A185" s="1">
        <v>45788</v>
      </c>
      <c r="B185">
        <v>108.34</v>
      </c>
      <c r="C185">
        <f t="shared" si="4"/>
        <v>130.13813813813815</v>
      </c>
      <c r="D185">
        <f t="shared" si="5"/>
        <v>4.8079713649995151E-2</v>
      </c>
    </row>
    <row r="186" spans="1:4" x14ac:dyDescent="0.25">
      <c r="A186" s="1">
        <v>45795</v>
      </c>
      <c r="B186">
        <v>105.07</v>
      </c>
      <c r="C186">
        <f t="shared" si="4"/>
        <v>126.21021021021019</v>
      </c>
      <c r="D186">
        <f t="shared" si="5"/>
        <v>-3.0182757984124148E-2</v>
      </c>
    </row>
    <row r="187" spans="1:4" x14ac:dyDescent="0.25">
      <c r="A187" s="1">
        <v>45802</v>
      </c>
      <c r="B187">
        <v>106.51</v>
      </c>
      <c r="C187">
        <f t="shared" si="4"/>
        <v>127.93993993993995</v>
      </c>
      <c r="D187">
        <f t="shared" si="5"/>
        <v>1.3705148948320282E-2</v>
      </c>
    </row>
    <row r="188" spans="1:4" x14ac:dyDescent="0.25">
      <c r="A188" s="1">
        <v>45809</v>
      </c>
      <c r="B188">
        <v>107.78</v>
      </c>
      <c r="C188">
        <f t="shared" si="4"/>
        <v>129.46546546546546</v>
      </c>
      <c r="D188">
        <f t="shared" si="5"/>
        <v>1.1923763026945788E-2</v>
      </c>
    </row>
    <row r="189" spans="1:4" x14ac:dyDescent="0.25">
      <c r="A189" s="1">
        <v>45816</v>
      </c>
      <c r="B189">
        <v>106.44</v>
      </c>
      <c r="C189">
        <f t="shared" si="4"/>
        <v>127.85585585585586</v>
      </c>
      <c r="D189">
        <f t="shared" si="5"/>
        <v>-1.2432733345704244E-2</v>
      </c>
    </row>
    <row r="190" spans="1:4" x14ac:dyDescent="0.25">
      <c r="A190" s="1">
        <v>45823</v>
      </c>
      <c r="B190">
        <v>106.09</v>
      </c>
      <c r="C190">
        <f t="shared" si="4"/>
        <v>127.43543543543542</v>
      </c>
      <c r="D190">
        <f t="shared" si="5"/>
        <v>-3.2882375046974287E-3</v>
      </c>
    </row>
    <row r="191" spans="1:4" x14ac:dyDescent="0.25">
      <c r="A191" s="1">
        <v>45830</v>
      </c>
      <c r="B191">
        <v>107.71</v>
      </c>
      <c r="C191">
        <f t="shared" si="4"/>
        <v>129.38138138138137</v>
      </c>
      <c r="D191">
        <f t="shared" si="5"/>
        <v>1.5270053727966729E-2</v>
      </c>
    </row>
    <row r="192" spans="1:4" x14ac:dyDescent="0.25">
      <c r="A192" s="1">
        <v>45837</v>
      </c>
      <c r="B192">
        <v>107.81</v>
      </c>
      <c r="C192">
        <f t="shared" si="4"/>
        <v>129.50150150150151</v>
      </c>
      <c r="D192">
        <f t="shared" si="5"/>
        <v>9.2841890260893635E-4</v>
      </c>
    </row>
    <row r="193" spans="1:4" x14ac:dyDescent="0.25">
      <c r="A193" s="1">
        <v>45844</v>
      </c>
      <c r="B193">
        <v>108.64</v>
      </c>
      <c r="C193">
        <f t="shared" si="4"/>
        <v>130.49849849849849</v>
      </c>
      <c r="D193">
        <f t="shared" si="5"/>
        <v>7.6987292458955414E-3</v>
      </c>
    </row>
    <row r="194" spans="1:4" x14ac:dyDescent="0.25">
      <c r="A194" s="1">
        <v>45851</v>
      </c>
      <c r="B194">
        <v>109.66</v>
      </c>
      <c r="C194">
        <f t="shared" si="4"/>
        <v>131.72372372372371</v>
      </c>
      <c r="D194">
        <f t="shared" si="5"/>
        <v>9.3888070692194035E-3</v>
      </c>
    </row>
    <row r="195" spans="1:4" x14ac:dyDescent="0.25">
      <c r="A195" s="1">
        <v>45858</v>
      </c>
      <c r="B195">
        <v>110.44</v>
      </c>
      <c r="C195">
        <f t="shared" ref="C195:C214" si="6">100*(B195/$B$2)</f>
        <v>132.66066066066065</v>
      </c>
      <c r="D195">
        <f t="shared" si="5"/>
        <v>7.1128944008754438E-3</v>
      </c>
    </row>
    <row r="196" spans="1:4" x14ac:dyDescent="0.25">
      <c r="A196" s="1">
        <v>45865</v>
      </c>
      <c r="B196">
        <v>109.31</v>
      </c>
      <c r="C196">
        <f t="shared" si="6"/>
        <v>131.30330330330332</v>
      </c>
      <c r="D196">
        <f t="shared" ref="D196:D214" si="7">(B196-B195)/B195</f>
        <v>-1.0231800072437482E-2</v>
      </c>
    </row>
    <row r="197" spans="1:4" x14ac:dyDescent="0.25">
      <c r="A197" s="1">
        <v>45872</v>
      </c>
      <c r="B197">
        <v>111.07</v>
      </c>
      <c r="C197">
        <f t="shared" si="6"/>
        <v>133.41741741741743</v>
      </c>
      <c r="D197">
        <f t="shared" si="7"/>
        <v>1.6100997164028824E-2</v>
      </c>
    </row>
    <row r="198" spans="1:4" x14ac:dyDescent="0.25">
      <c r="A198" s="1">
        <v>45879</v>
      </c>
      <c r="B198">
        <v>112.12</v>
      </c>
      <c r="C198">
        <f t="shared" si="6"/>
        <v>134.67867867867869</v>
      </c>
      <c r="D198">
        <f t="shared" si="7"/>
        <v>9.4534977941839512E-3</v>
      </c>
    </row>
    <row r="199" spans="1:4" x14ac:dyDescent="0.25">
      <c r="A199" s="1">
        <v>45886</v>
      </c>
      <c r="B199">
        <v>112.79</v>
      </c>
      <c r="C199">
        <f t="shared" si="6"/>
        <v>135.4834834834835</v>
      </c>
      <c r="D199">
        <f t="shared" si="7"/>
        <v>5.9757402782732935E-3</v>
      </c>
    </row>
    <row r="200" spans="1:4" x14ac:dyDescent="0.25">
      <c r="A200" s="1">
        <v>45893</v>
      </c>
      <c r="B200">
        <v>112.19</v>
      </c>
      <c r="C200">
        <f t="shared" si="6"/>
        <v>134.76276276276275</v>
      </c>
      <c r="D200">
        <f t="shared" si="7"/>
        <v>-5.3196205337353352E-3</v>
      </c>
    </row>
    <row r="201" spans="1:4" x14ac:dyDescent="0.25">
      <c r="A201" s="1">
        <v>45900</v>
      </c>
      <c r="B201">
        <v>112.1</v>
      </c>
      <c r="C201">
        <f t="shared" si="6"/>
        <v>134.65465465465465</v>
      </c>
      <c r="D201">
        <f t="shared" si="7"/>
        <v>-8.022105356983993E-4</v>
      </c>
    </row>
    <row r="202" spans="1:4" x14ac:dyDescent="0.25">
      <c r="A202" s="1">
        <v>45907</v>
      </c>
      <c r="B202">
        <v>114.24</v>
      </c>
      <c r="C202">
        <f t="shared" si="6"/>
        <v>137.22522522522522</v>
      </c>
      <c r="D202">
        <f t="shared" si="7"/>
        <v>1.909009812667262E-2</v>
      </c>
    </row>
    <row r="203" spans="1:4" x14ac:dyDescent="0.25">
      <c r="A203" s="1">
        <v>45914</v>
      </c>
      <c r="B203">
        <v>114.72</v>
      </c>
      <c r="C203">
        <f t="shared" si="6"/>
        <v>137.80180180180179</v>
      </c>
      <c r="D203">
        <f t="shared" si="7"/>
        <v>4.2016806722689429E-3</v>
      </c>
    </row>
    <row r="204" spans="1:4" x14ac:dyDescent="0.25">
      <c r="A204" s="1">
        <v>45921</v>
      </c>
      <c r="B204">
        <v>114.85</v>
      </c>
      <c r="C204">
        <f t="shared" si="6"/>
        <v>137.95795795795794</v>
      </c>
      <c r="D204">
        <f t="shared" si="7"/>
        <v>1.1331938633193468E-3</v>
      </c>
    </row>
    <row r="205" spans="1:4" x14ac:dyDescent="0.25">
      <c r="A205" s="1">
        <v>45928</v>
      </c>
      <c r="B205">
        <v>116.76</v>
      </c>
      <c r="C205">
        <f t="shared" si="6"/>
        <v>140.25225225225228</v>
      </c>
      <c r="D205">
        <f t="shared" si="7"/>
        <v>1.6630387461906929E-2</v>
      </c>
    </row>
    <row r="206" spans="1:4" x14ac:dyDescent="0.25">
      <c r="A206" s="1">
        <v>45935</v>
      </c>
      <c r="B206">
        <v>115.71</v>
      </c>
      <c r="C206">
        <f t="shared" si="6"/>
        <v>138.99099099099098</v>
      </c>
      <c r="D206">
        <f t="shared" si="7"/>
        <v>-8.9928057553957802E-3</v>
      </c>
    </row>
    <row r="207" spans="1:4" x14ac:dyDescent="0.25">
      <c r="A207" s="1">
        <v>45942</v>
      </c>
      <c r="B207">
        <v>115.46</v>
      </c>
      <c r="C207">
        <f t="shared" si="6"/>
        <v>138.6906906906907</v>
      </c>
      <c r="D207">
        <f t="shared" si="7"/>
        <v>-2.1605738484141391E-3</v>
      </c>
    </row>
    <row r="208" spans="1:4" x14ac:dyDescent="0.25">
      <c r="A208" s="1">
        <v>45949</v>
      </c>
      <c r="B208">
        <v>118.7</v>
      </c>
      <c r="C208">
        <f t="shared" si="6"/>
        <v>142.58258258258257</v>
      </c>
      <c r="D208">
        <f t="shared" si="7"/>
        <v>2.8061666377966477E-2</v>
      </c>
    </row>
    <row r="209" spans="1:4" x14ac:dyDescent="0.25">
      <c r="A209" s="1">
        <v>45956</v>
      </c>
      <c r="B209">
        <v>120.01</v>
      </c>
      <c r="C209">
        <f t="shared" si="6"/>
        <v>144.15615615615616</v>
      </c>
      <c r="D209">
        <f t="shared" si="7"/>
        <v>1.1036225779275504E-2</v>
      </c>
    </row>
    <row r="210" spans="1:4" x14ac:dyDescent="0.25">
      <c r="A210" s="1">
        <v>45963</v>
      </c>
      <c r="B210">
        <v>116.64</v>
      </c>
      <c r="C210">
        <f t="shared" si="6"/>
        <v>140.1081081081081</v>
      </c>
      <c r="D210">
        <f t="shared" si="7"/>
        <v>-2.8080993250562489E-2</v>
      </c>
    </row>
    <row r="211" spans="1:4" x14ac:dyDescent="0.25">
      <c r="A211" s="1">
        <v>45970</v>
      </c>
      <c r="B211">
        <v>118.3</v>
      </c>
      <c r="C211">
        <f t="shared" si="6"/>
        <v>142.10210210210209</v>
      </c>
      <c r="D211">
        <f t="shared" si="7"/>
        <v>1.4231824417009573E-2</v>
      </c>
    </row>
    <row r="212" spans="1:4" x14ac:dyDescent="0.25">
      <c r="A212" s="1">
        <v>45977</v>
      </c>
      <c r="B212">
        <v>116.15</v>
      </c>
      <c r="C212">
        <f t="shared" si="6"/>
        <v>139.51951951951952</v>
      </c>
      <c r="D212">
        <f t="shared" si="7"/>
        <v>-1.8174133558748872E-2</v>
      </c>
    </row>
    <row r="213" spans="1:4" x14ac:dyDescent="0.25">
      <c r="A213" s="1">
        <v>45984</v>
      </c>
      <c r="B213">
        <v>119.58</v>
      </c>
      <c r="C213">
        <f t="shared" si="6"/>
        <v>143.63963963963963</v>
      </c>
      <c r="D213">
        <f t="shared" si="7"/>
        <v>2.9530779164872945E-2</v>
      </c>
    </row>
    <row r="214" spans="1:4" x14ac:dyDescent="0.25">
      <c r="A214" s="1">
        <v>45991</v>
      </c>
      <c r="B214">
        <v>119.89</v>
      </c>
      <c r="C214">
        <f t="shared" si="6"/>
        <v>144.01201201201201</v>
      </c>
      <c r="D214">
        <f t="shared" si="7"/>
        <v>2.5924067569827922E-3</v>
      </c>
    </row>
  </sheetData>
  <sortState xmlns:xlrd2="http://schemas.microsoft.com/office/spreadsheetml/2017/richdata2" ref="A2:B214">
    <sortCondition ref="A2:A21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3A22-75AD-4B67-A4FC-48BB6B4D9FCF}">
  <dimension ref="A1:D214"/>
  <sheetViews>
    <sheetView workbookViewId="0">
      <selection activeCell="C1" sqref="C1"/>
    </sheetView>
  </sheetViews>
  <sheetFormatPr baseColWidth="10" defaultRowHeight="15" x14ac:dyDescent="0.25"/>
  <cols>
    <col min="3" max="3" width="18.85546875" customWidth="1"/>
    <col min="4" max="4" width="20.42578125" customWidth="1"/>
  </cols>
  <sheetData>
    <row r="1" spans="1:4" x14ac:dyDescent="0.25">
      <c r="A1" t="s">
        <v>0</v>
      </c>
      <c r="B1" t="s">
        <v>216</v>
      </c>
      <c r="C1" t="s">
        <v>1516</v>
      </c>
      <c r="D1" t="s">
        <v>1514</v>
      </c>
    </row>
    <row r="2" spans="1:4" x14ac:dyDescent="0.25">
      <c r="A2" s="1">
        <v>44507</v>
      </c>
      <c r="B2">
        <v>48.94</v>
      </c>
      <c r="C2">
        <f t="shared" ref="C2:C65" si="0">100*(B2/$B$2)</f>
        <v>100</v>
      </c>
    </row>
    <row r="3" spans="1:4" x14ac:dyDescent="0.25">
      <c r="A3" s="1">
        <v>44514</v>
      </c>
      <c r="B3">
        <v>49.03</v>
      </c>
      <c r="C3">
        <f t="shared" si="0"/>
        <v>100.18389865140989</v>
      </c>
      <c r="D3">
        <f>(B3-B2)/B2</f>
        <v>1.8389865140989664E-3</v>
      </c>
    </row>
    <row r="4" spans="1:4" x14ac:dyDescent="0.25">
      <c r="A4" s="1">
        <v>44521</v>
      </c>
      <c r="B4">
        <v>46.63</v>
      </c>
      <c r="C4">
        <f t="shared" si="0"/>
        <v>95.279934613812841</v>
      </c>
      <c r="D4">
        <f t="shared" ref="D4:D67" si="1">(B4-B3)/B3</f>
        <v>-4.8949622679991811E-2</v>
      </c>
    </row>
    <row r="5" spans="1:4" x14ac:dyDescent="0.25">
      <c r="A5" s="1">
        <v>44528</v>
      </c>
      <c r="B5">
        <v>46.69</v>
      </c>
      <c r="C5">
        <f t="shared" si="0"/>
        <v>95.402533714752764</v>
      </c>
      <c r="D5">
        <f t="shared" si="1"/>
        <v>1.28672528415173E-3</v>
      </c>
    </row>
    <row r="6" spans="1:4" x14ac:dyDescent="0.25">
      <c r="A6" s="1">
        <v>44535</v>
      </c>
      <c r="B6">
        <v>48.17</v>
      </c>
      <c r="C6">
        <f t="shared" si="0"/>
        <v>98.426644871270952</v>
      </c>
      <c r="D6">
        <f t="shared" si="1"/>
        <v>3.1698436496037784E-2</v>
      </c>
    </row>
    <row r="7" spans="1:4" x14ac:dyDescent="0.25">
      <c r="A7" s="1">
        <v>44542</v>
      </c>
      <c r="B7">
        <v>47.69</v>
      </c>
      <c r="C7">
        <f t="shared" si="0"/>
        <v>97.445852063751531</v>
      </c>
      <c r="D7">
        <f t="shared" si="1"/>
        <v>-9.9647083246834946E-3</v>
      </c>
    </row>
    <row r="8" spans="1:4" x14ac:dyDescent="0.25">
      <c r="A8" s="1">
        <v>44549</v>
      </c>
      <c r="B8">
        <v>48.96</v>
      </c>
      <c r="C8">
        <f t="shared" si="0"/>
        <v>100.04086636697997</v>
      </c>
      <c r="D8">
        <f t="shared" si="1"/>
        <v>2.6630320821975324E-2</v>
      </c>
    </row>
    <row r="9" spans="1:4" x14ac:dyDescent="0.25">
      <c r="A9" s="1">
        <v>44556</v>
      </c>
      <c r="B9">
        <v>49.47</v>
      </c>
      <c r="C9">
        <f t="shared" si="0"/>
        <v>101.08295872496936</v>
      </c>
      <c r="D9">
        <f t="shared" si="1"/>
        <v>1.0416666666666626E-2</v>
      </c>
    </row>
    <row r="10" spans="1:4" x14ac:dyDescent="0.25">
      <c r="A10" s="1">
        <v>44563</v>
      </c>
      <c r="B10">
        <v>49.72</v>
      </c>
      <c r="C10">
        <f t="shared" si="0"/>
        <v>101.59378831221903</v>
      </c>
      <c r="D10">
        <f t="shared" si="1"/>
        <v>5.0535678188801296E-3</v>
      </c>
    </row>
    <row r="11" spans="1:4" x14ac:dyDescent="0.25">
      <c r="A11" s="1">
        <v>44570</v>
      </c>
      <c r="B11">
        <v>49.23</v>
      </c>
      <c r="C11">
        <f t="shared" si="0"/>
        <v>100.59256232120963</v>
      </c>
      <c r="D11">
        <f t="shared" si="1"/>
        <v>-9.8551890587289213E-3</v>
      </c>
    </row>
    <row r="12" spans="1:4" x14ac:dyDescent="0.25">
      <c r="A12" s="1">
        <v>44577</v>
      </c>
      <c r="B12">
        <v>48.76</v>
      </c>
      <c r="C12">
        <f t="shared" si="0"/>
        <v>99.632202697180219</v>
      </c>
      <c r="D12">
        <f t="shared" si="1"/>
        <v>-9.5470241722526682E-3</v>
      </c>
    </row>
    <row r="13" spans="1:4" x14ac:dyDescent="0.25">
      <c r="A13" s="1">
        <v>44584</v>
      </c>
      <c r="B13">
        <v>48.01</v>
      </c>
      <c r="C13">
        <f t="shared" si="0"/>
        <v>98.09971393543114</v>
      </c>
      <c r="D13">
        <f t="shared" si="1"/>
        <v>-1.5381460213289582E-2</v>
      </c>
    </row>
    <row r="14" spans="1:4" x14ac:dyDescent="0.25">
      <c r="A14" s="1">
        <v>44591</v>
      </c>
      <c r="B14">
        <v>47.92</v>
      </c>
      <c r="C14">
        <f t="shared" si="0"/>
        <v>97.915815284021264</v>
      </c>
      <c r="D14">
        <f t="shared" si="1"/>
        <v>-1.8746094563631807E-3</v>
      </c>
    </row>
    <row r="15" spans="1:4" x14ac:dyDescent="0.25">
      <c r="A15" s="1">
        <v>44598</v>
      </c>
      <c r="B15">
        <v>48.29</v>
      </c>
      <c r="C15">
        <f t="shared" si="0"/>
        <v>98.671843073150796</v>
      </c>
      <c r="D15">
        <f t="shared" si="1"/>
        <v>7.7212020033388448E-3</v>
      </c>
    </row>
    <row r="16" spans="1:4" x14ac:dyDescent="0.25">
      <c r="A16" s="1">
        <v>44605</v>
      </c>
      <c r="B16">
        <v>47.74</v>
      </c>
      <c r="C16">
        <f t="shared" si="0"/>
        <v>97.548017981201482</v>
      </c>
      <c r="D16">
        <f t="shared" si="1"/>
        <v>-1.1389521640091058E-2</v>
      </c>
    </row>
    <row r="17" spans="1:4" x14ac:dyDescent="0.25">
      <c r="A17" s="1">
        <v>44612</v>
      </c>
      <c r="B17">
        <v>46.53</v>
      </c>
      <c r="C17">
        <f t="shared" si="0"/>
        <v>95.075602778912966</v>
      </c>
      <c r="D17">
        <f t="shared" si="1"/>
        <v>-2.5345622119815683E-2</v>
      </c>
    </row>
    <row r="18" spans="1:4" x14ac:dyDescent="0.25">
      <c r="A18" s="1">
        <v>44619</v>
      </c>
      <c r="B18">
        <v>41.82</v>
      </c>
      <c r="C18">
        <f t="shared" si="0"/>
        <v>85.45157335512873</v>
      </c>
      <c r="D18">
        <f t="shared" si="1"/>
        <v>-0.10122501611863316</v>
      </c>
    </row>
    <row r="19" spans="1:4" x14ac:dyDescent="0.25">
      <c r="A19" s="1">
        <v>44626</v>
      </c>
      <c r="B19">
        <v>43.33</v>
      </c>
      <c r="C19">
        <f t="shared" si="0"/>
        <v>88.536984062116872</v>
      </c>
      <c r="D19">
        <f t="shared" si="1"/>
        <v>3.6107125777140078E-2</v>
      </c>
    </row>
    <row r="20" spans="1:4" x14ac:dyDescent="0.25">
      <c r="A20" s="1">
        <v>44633</v>
      </c>
      <c r="B20">
        <v>45.85</v>
      </c>
      <c r="C20">
        <f t="shared" si="0"/>
        <v>93.686146301593794</v>
      </c>
      <c r="D20">
        <f t="shared" si="1"/>
        <v>5.815831987075936E-2</v>
      </c>
    </row>
    <row r="21" spans="1:4" x14ac:dyDescent="0.25">
      <c r="A21" s="1">
        <v>44640</v>
      </c>
      <c r="B21">
        <v>45.4</v>
      </c>
      <c r="C21">
        <f t="shared" si="0"/>
        <v>92.766653044544341</v>
      </c>
      <c r="D21">
        <f t="shared" si="1"/>
        <v>-9.8146128680480435E-3</v>
      </c>
    </row>
    <row r="22" spans="1:4" x14ac:dyDescent="0.25">
      <c r="A22" s="1">
        <v>44647</v>
      </c>
      <c r="B22">
        <v>46.21</v>
      </c>
      <c r="C22">
        <f t="shared" si="0"/>
        <v>94.421740907233357</v>
      </c>
      <c r="D22">
        <f t="shared" si="1"/>
        <v>1.7841409691630006E-2</v>
      </c>
    </row>
    <row r="23" spans="1:4" x14ac:dyDescent="0.25">
      <c r="A23" s="1">
        <v>44654</v>
      </c>
      <c r="B23">
        <v>45.35</v>
      </c>
      <c r="C23">
        <f t="shared" si="0"/>
        <v>92.664487127094404</v>
      </c>
      <c r="D23">
        <f t="shared" si="1"/>
        <v>-1.8610690326769087E-2</v>
      </c>
    </row>
    <row r="24" spans="1:4" x14ac:dyDescent="0.25">
      <c r="A24" s="1">
        <v>44661</v>
      </c>
      <c r="B24">
        <v>45.65</v>
      </c>
      <c r="C24">
        <f t="shared" si="0"/>
        <v>93.277482631794044</v>
      </c>
      <c r="D24">
        <f t="shared" si="1"/>
        <v>6.6152149944872576E-3</v>
      </c>
    </row>
    <row r="25" spans="1:4" x14ac:dyDescent="0.25">
      <c r="A25" s="1">
        <v>44668</v>
      </c>
      <c r="B25">
        <v>45.65</v>
      </c>
      <c r="C25">
        <f t="shared" si="0"/>
        <v>93.277482631794044</v>
      </c>
      <c r="D25">
        <f t="shared" si="1"/>
        <v>0</v>
      </c>
    </row>
    <row r="26" spans="1:4" x14ac:dyDescent="0.25">
      <c r="A26" s="1">
        <v>44675</v>
      </c>
      <c r="B26">
        <v>45.54</v>
      </c>
      <c r="C26">
        <f t="shared" si="0"/>
        <v>93.05271761340417</v>
      </c>
      <c r="D26">
        <f t="shared" si="1"/>
        <v>-2.4096385542168551E-3</v>
      </c>
    </row>
    <row r="27" spans="1:4" x14ac:dyDescent="0.25">
      <c r="A27" s="1">
        <v>44682</v>
      </c>
      <c r="B27">
        <v>43.9</v>
      </c>
      <c r="C27">
        <f t="shared" si="0"/>
        <v>89.70167552104617</v>
      </c>
      <c r="D27">
        <f t="shared" si="1"/>
        <v>-3.601229688186211E-2</v>
      </c>
    </row>
    <row r="28" spans="1:4" x14ac:dyDescent="0.25">
      <c r="A28" s="1">
        <v>44689</v>
      </c>
      <c r="B28">
        <v>44.56</v>
      </c>
      <c r="C28">
        <f t="shared" si="0"/>
        <v>91.050265631385372</v>
      </c>
      <c r="D28">
        <f t="shared" si="1"/>
        <v>1.5034168564920358E-2</v>
      </c>
    </row>
    <row r="29" spans="1:4" x14ac:dyDescent="0.25">
      <c r="A29" s="1">
        <v>44696</v>
      </c>
      <c r="B29">
        <v>44.17</v>
      </c>
      <c r="C29">
        <f t="shared" si="0"/>
        <v>90.253371475275856</v>
      </c>
      <c r="D29">
        <f t="shared" si="1"/>
        <v>-8.7522441651705692E-3</v>
      </c>
    </row>
    <row r="30" spans="1:4" x14ac:dyDescent="0.25">
      <c r="A30" s="1">
        <v>44703</v>
      </c>
      <c r="B30">
        <v>45.97</v>
      </c>
      <c r="C30">
        <f t="shared" si="0"/>
        <v>93.931344503473639</v>
      </c>
      <c r="D30">
        <f t="shared" si="1"/>
        <v>4.0751641385555738E-2</v>
      </c>
    </row>
    <row r="31" spans="1:4" x14ac:dyDescent="0.25">
      <c r="A31" s="1">
        <v>44710</v>
      </c>
      <c r="B31">
        <v>45.73</v>
      </c>
      <c r="C31">
        <f t="shared" si="0"/>
        <v>93.440948099713935</v>
      </c>
      <c r="D31">
        <f t="shared" si="1"/>
        <v>-5.220796171416184E-3</v>
      </c>
    </row>
    <row r="32" spans="1:4" x14ac:dyDescent="0.25">
      <c r="A32" s="1">
        <v>44717</v>
      </c>
      <c r="B32">
        <v>43.74</v>
      </c>
      <c r="C32">
        <f t="shared" si="0"/>
        <v>89.374744585206372</v>
      </c>
      <c r="D32">
        <f t="shared" si="1"/>
        <v>-4.351629127487415E-2</v>
      </c>
    </row>
    <row r="33" spans="1:4" x14ac:dyDescent="0.25">
      <c r="A33" s="1">
        <v>44724</v>
      </c>
      <c r="B33">
        <v>41.63</v>
      </c>
      <c r="C33">
        <f t="shared" si="0"/>
        <v>85.063342868818964</v>
      </c>
      <c r="D33">
        <f t="shared" si="1"/>
        <v>-4.8239597622313654E-2</v>
      </c>
    </row>
    <row r="34" spans="1:4" x14ac:dyDescent="0.25">
      <c r="A34" s="1">
        <v>44731</v>
      </c>
      <c r="B34">
        <v>43</v>
      </c>
      <c r="C34">
        <f t="shared" si="0"/>
        <v>87.862689006947278</v>
      </c>
      <c r="D34">
        <f t="shared" si="1"/>
        <v>3.2908959884698469E-2</v>
      </c>
    </row>
    <row r="35" spans="1:4" x14ac:dyDescent="0.25">
      <c r="A35" s="1">
        <v>44738</v>
      </c>
      <c r="B35">
        <v>42.07</v>
      </c>
      <c r="C35">
        <f t="shared" si="0"/>
        <v>85.962402942378418</v>
      </c>
      <c r="D35">
        <f t="shared" si="1"/>
        <v>-2.1627906976744181E-2</v>
      </c>
    </row>
    <row r="36" spans="1:4" x14ac:dyDescent="0.25">
      <c r="A36" s="1">
        <v>44745</v>
      </c>
      <c r="B36">
        <v>42.83</v>
      </c>
      <c r="C36">
        <f t="shared" si="0"/>
        <v>87.515324887617496</v>
      </c>
      <c r="D36">
        <f t="shared" si="1"/>
        <v>1.8065129545994724E-2</v>
      </c>
    </row>
    <row r="37" spans="1:4" x14ac:dyDescent="0.25">
      <c r="A37" s="1">
        <v>44752</v>
      </c>
      <c r="B37">
        <v>43</v>
      </c>
      <c r="C37">
        <f t="shared" si="0"/>
        <v>87.862689006947278</v>
      </c>
      <c r="D37">
        <f t="shared" si="1"/>
        <v>3.9691804809713219E-3</v>
      </c>
    </row>
    <row r="38" spans="1:4" x14ac:dyDescent="0.25">
      <c r="A38" s="1">
        <v>44759</v>
      </c>
      <c r="B38">
        <v>44.2</v>
      </c>
      <c r="C38">
        <f t="shared" si="0"/>
        <v>90.314671025745824</v>
      </c>
      <c r="D38">
        <f t="shared" si="1"/>
        <v>2.7906976744186112E-2</v>
      </c>
    </row>
    <row r="39" spans="1:4" x14ac:dyDescent="0.25">
      <c r="A39" s="1">
        <v>44766</v>
      </c>
      <c r="B39">
        <v>45.79</v>
      </c>
      <c r="C39">
        <f t="shared" si="0"/>
        <v>93.563547200653858</v>
      </c>
      <c r="D39">
        <f t="shared" si="1"/>
        <v>3.5972850678732946E-2</v>
      </c>
    </row>
    <row r="40" spans="1:4" x14ac:dyDescent="0.25">
      <c r="A40" s="1">
        <v>44773</v>
      </c>
      <c r="B40">
        <v>45.89</v>
      </c>
      <c r="C40">
        <f t="shared" si="0"/>
        <v>93.767879035553747</v>
      </c>
      <c r="D40">
        <f t="shared" si="1"/>
        <v>2.1838829438742395E-3</v>
      </c>
    </row>
    <row r="41" spans="1:4" x14ac:dyDescent="0.25">
      <c r="A41" s="1">
        <v>44780</v>
      </c>
      <c r="B41">
        <v>46.47</v>
      </c>
      <c r="C41">
        <f t="shared" si="0"/>
        <v>94.95300367797303</v>
      </c>
      <c r="D41">
        <f t="shared" si="1"/>
        <v>1.2638919154499854E-2</v>
      </c>
    </row>
    <row r="42" spans="1:4" x14ac:dyDescent="0.25">
      <c r="A42" s="1">
        <v>44787</v>
      </c>
      <c r="B42">
        <v>46.06</v>
      </c>
      <c r="C42">
        <f t="shared" si="0"/>
        <v>94.115243154883544</v>
      </c>
      <c r="D42">
        <f t="shared" si="1"/>
        <v>-8.82289649236059E-3</v>
      </c>
    </row>
    <row r="43" spans="1:4" x14ac:dyDescent="0.25">
      <c r="A43" s="1">
        <v>44794</v>
      </c>
      <c r="B43">
        <v>44.46</v>
      </c>
      <c r="C43">
        <f t="shared" si="0"/>
        <v>90.845933796485497</v>
      </c>
      <c r="D43">
        <f t="shared" si="1"/>
        <v>-3.4737299174989175E-2</v>
      </c>
    </row>
    <row r="44" spans="1:4" x14ac:dyDescent="0.25">
      <c r="A44" s="1">
        <v>44801</v>
      </c>
      <c r="B44">
        <v>43.76</v>
      </c>
      <c r="C44">
        <f t="shared" si="0"/>
        <v>89.415610952186356</v>
      </c>
      <c r="D44">
        <f t="shared" si="1"/>
        <v>-1.574448942870002E-2</v>
      </c>
    </row>
    <row r="45" spans="1:4" x14ac:dyDescent="0.25">
      <c r="A45" s="1">
        <v>44808</v>
      </c>
      <c r="B45">
        <v>44.05</v>
      </c>
      <c r="C45">
        <f t="shared" si="0"/>
        <v>90.008173273395997</v>
      </c>
      <c r="D45">
        <f t="shared" si="1"/>
        <v>6.6270566727604924E-3</v>
      </c>
    </row>
    <row r="46" spans="1:4" x14ac:dyDescent="0.25">
      <c r="A46" s="1">
        <v>44815</v>
      </c>
      <c r="B46">
        <v>42.98</v>
      </c>
      <c r="C46">
        <f t="shared" si="0"/>
        <v>87.821822639967309</v>
      </c>
      <c r="D46">
        <f t="shared" si="1"/>
        <v>-2.4290578887627704E-2</v>
      </c>
    </row>
    <row r="47" spans="1:4" x14ac:dyDescent="0.25">
      <c r="A47" s="1">
        <v>44822</v>
      </c>
      <c r="B47">
        <v>40.869999999999997</v>
      </c>
      <c r="C47">
        <f t="shared" si="0"/>
        <v>83.5104209235799</v>
      </c>
      <c r="D47">
        <f t="shared" si="1"/>
        <v>-4.9092601209865042E-2</v>
      </c>
    </row>
    <row r="48" spans="1:4" x14ac:dyDescent="0.25">
      <c r="A48" s="1">
        <v>44829</v>
      </c>
      <c r="B48">
        <v>40.76</v>
      </c>
      <c r="C48">
        <f t="shared" si="0"/>
        <v>83.285655905190026</v>
      </c>
      <c r="D48">
        <f t="shared" si="1"/>
        <v>-2.6914607291411655E-3</v>
      </c>
    </row>
    <row r="49" spans="1:4" x14ac:dyDescent="0.25">
      <c r="A49" s="1">
        <v>44836</v>
      </c>
      <c r="B49">
        <v>41.51</v>
      </c>
      <c r="C49">
        <f t="shared" si="0"/>
        <v>84.818144666939105</v>
      </c>
      <c r="D49">
        <f t="shared" si="1"/>
        <v>1.8400392541707559E-2</v>
      </c>
    </row>
    <row r="50" spans="1:4" x14ac:dyDescent="0.25">
      <c r="A50" s="1">
        <v>44843</v>
      </c>
      <c r="B50">
        <v>41.92</v>
      </c>
      <c r="C50">
        <f t="shared" si="0"/>
        <v>85.655905190028619</v>
      </c>
      <c r="D50">
        <f t="shared" si="1"/>
        <v>9.8771380390268292E-3</v>
      </c>
    </row>
    <row r="51" spans="1:4" x14ac:dyDescent="0.25">
      <c r="A51" s="1">
        <v>44850</v>
      </c>
      <c r="B51">
        <v>42.6</v>
      </c>
      <c r="C51">
        <f t="shared" si="0"/>
        <v>87.045361667347777</v>
      </c>
      <c r="D51">
        <f t="shared" si="1"/>
        <v>1.6221374045801519E-2</v>
      </c>
    </row>
    <row r="52" spans="1:4" x14ac:dyDescent="0.25">
      <c r="A52" s="1">
        <v>44857</v>
      </c>
      <c r="B52">
        <v>44.26</v>
      </c>
      <c r="C52">
        <f t="shared" si="0"/>
        <v>90.437270126685746</v>
      </c>
      <c r="D52">
        <f t="shared" si="1"/>
        <v>3.8967136150234657E-2</v>
      </c>
    </row>
    <row r="53" spans="1:4" x14ac:dyDescent="0.25">
      <c r="A53" s="1">
        <v>44864</v>
      </c>
      <c r="B53">
        <v>45.23</v>
      </c>
      <c r="C53">
        <f t="shared" si="0"/>
        <v>92.419288925214545</v>
      </c>
      <c r="D53">
        <f t="shared" si="1"/>
        <v>2.1915951197469474E-2</v>
      </c>
    </row>
    <row r="54" spans="1:4" x14ac:dyDescent="0.25">
      <c r="A54" s="1">
        <v>44871</v>
      </c>
      <c r="B54">
        <v>46.6</v>
      </c>
      <c r="C54">
        <f t="shared" si="0"/>
        <v>95.218635063342873</v>
      </c>
      <c r="D54">
        <f t="shared" si="1"/>
        <v>3.0289630776033707E-2</v>
      </c>
    </row>
    <row r="55" spans="1:4" x14ac:dyDescent="0.25">
      <c r="A55" s="1">
        <v>44878</v>
      </c>
      <c r="B55">
        <v>46.81</v>
      </c>
      <c r="C55">
        <f t="shared" si="0"/>
        <v>95.647731916632623</v>
      </c>
      <c r="D55">
        <f t="shared" si="1"/>
        <v>4.5064377682403614E-3</v>
      </c>
    </row>
    <row r="56" spans="1:4" x14ac:dyDescent="0.25">
      <c r="A56" s="1">
        <v>44885</v>
      </c>
      <c r="B56">
        <v>47.36</v>
      </c>
      <c r="C56">
        <f t="shared" si="0"/>
        <v>96.771557008581937</v>
      </c>
      <c r="D56">
        <f t="shared" si="1"/>
        <v>1.1749626148258857E-2</v>
      </c>
    </row>
    <row r="57" spans="1:4" x14ac:dyDescent="0.25">
      <c r="A57" s="1">
        <v>44892</v>
      </c>
      <c r="B57">
        <v>47.63</v>
      </c>
      <c r="C57">
        <f t="shared" si="0"/>
        <v>97.323252962811608</v>
      </c>
      <c r="D57">
        <f t="shared" si="1"/>
        <v>5.7010135135135793E-3</v>
      </c>
    </row>
    <row r="58" spans="1:4" x14ac:dyDescent="0.25">
      <c r="A58" s="1">
        <v>44899</v>
      </c>
      <c r="B58">
        <v>47.22</v>
      </c>
      <c r="C58">
        <f t="shared" si="0"/>
        <v>96.485492439722108</v>
      </c>
      <c r="D58">
        <f t="shared" si="1"/>
        <v>-8.6080201553643439E-3</v>
      </c>
    </row>
    <row r="59" spans="1:4" x14ac:dyDescent="0.25">
      <c r="A59" s="1">
        <v>44906</v>
      </c>
      <c r="B59">
        <v>45.61</v>
      </c>
      <c r="C59">
        <f t="shared" si="0"/>
        <v>93.195749897834091</v>
      </c>
      <c r="D59">
        <f t="shared" si="1"/>
        <v>-3.4095722151630654E-2</v>
      </c>
    </row>
    <row r="60" spans="1:4" x14ac:dyDescent="0.25">
      <c r="A60" s="1">
        <v>44913</v>
      </c>
      <c r="B60">
        <v>45.99</v>
      </c>
      <c r="C60">
        <f t="shared" si="0"/>
        <v>93.972210870453623</v>
      </c>
      <c r="D60">
        <f t="shared" si="1"/>
        <v>8.3315062486297425E-3</v>
      </c>
    </row>
    <row r="61" spans="1:4" x14ac:dyDescent="0.25">
      <c r="A61" s="1">
        <v>44920</v>
      </c>
      <c r="B61">
        <v>46.09</v>
      </c>
      <c r="C61">
        <f t="shared" si="0"/>
        <v>94.176542705353512</v>
      </c>
      <c r="D61">
        <f t="shared" si="1"/>
        <v>2.1743857360296023E-3</v>
      </c>
    </row>
    <row r="62" spans="1:4" x14ac:dyDescent="0.25">
      <c r="A62" s="1">
        <v>44927</v>
      </c>
      <c r="B62">
        <v>48.4</v>
      </c>
      <c r="C62">
        <f t="shared" si="0"/>
        <v>98.896608091540656</v>
      </c>
      <c r="D62">
        <f t="shared" si="1"/>
        <v>5.0119331742243325E-2</v>
      </c>
    </row>
    <row r="63" spans="1:4" x14ac:dyDescent="0.25">
      <c r="A63" s="1">
        <v>44934</v>
      </c>
      <c r="B63">
        <v>49.6</v>
      </c>
      <c r="C63">
        <f t="shared" si="0"/>
        <v>101.34859011033922</v>
      </c>
      <c r="D63">
        <f t="shared" si="1"/>
        <v>2.4793388429752126E-2</v>
      </c>
    </row>
    <row r="64" spans="1:4" x14ac:dyDescent="0.25">
      <c r="A64" s="1">
        <v>44941</v>
      </c>
      <c r="B64">
        <v>49.44</v>
      </c>
      <c r="C64">
        <f t="shared" si="0"/>
        <v>101.02165917449939</v>
      </c>
      <c r="D64">
        <f t="shared" si="1"/>
        <v>-3.2258064516129778E-3</v>
      </c>
    </row>
    <row r="65" spans="1:4" x14ac:dyDescent="0.25">
      <c r="A65" s="1">
        <v>44948</v>
      </c>
      <c r="B65">
        <v>50.18</v>
      </c>
      <c r="C65">
        <f t="shared" si="0"/>
        <v>102.53371475275847</v>
      </c>
      <c r="D65">
        <f t="shared" si="1"/>
        <v>1.4967637540453115E-2</v>
      </c>
    </row>
    <row r="66" spans="1:4" x14ac:dyDescent="0.25">
      <c r="A66" s="1">
        <v>44955</v>
      </c>
      <c r="B66">
        <v>51.1</v>
      </c>
      <c r="C66">
        <f t="shared" ref="C66:C129" si="2">100*(B66/$B$2)</f>
        <v>104.41356763383736</v>
      </c>
      <c r="D66">
        <f t="shared" si="1"/>
        <v>1.8333997608609043E-2</v>
      </c>
    </row>
    <row r="67" spans="1:4" x14ac:dyDescent="0.25">
      <c r="A67" s="1">
        <v>44962</v>
      </c>
      <c r="B67">
        <v>50.32</v>
      </c>
      <c r="C67">
        <f t="shared" si="2"/>
        <v>102.81977932161833</v>
      </c>
      <c r="D67">
        <f t="shared" si="1"/>
        <v>-1.5264187866927615E-2</v>
      </c>
    </row>
    <row r="68" spans="1:4" x14ac:dyDescent="0.25">
      <c r="A68" s="1">
        <v>44969</v>
      </c>
      <c r="B68">
        <v>51.82</v>
      </c>
      <c r="C68">
        <f t="shared" si="2"/>
        <v>105.88475684511647</v>
      </c>
      <c r="D68">
        <f t="shared" ref="D68:D131" si="3">(B68-B67)/B67</f>
        <v>2.9809220985691574E-2</v>
      </c>
    </row>
    <row r="69" spans="1:4" x14ac:dyDescent="0.25">
      <c r="A69" s="1">
        <v>44976</v>
      </c>
      <c r="B69">
        <v>50.68</v>
      </c>
      <c r="C69">
        <f t="shared" si="2"/>
        <v>103.55537392725786</v>
      </c>
      <c r="D69">
        <f t="shared" si="3"/>
        <v>-2.1999228097259755E-2</v>
      </c>
    </row>
    <row r="70" spans="1:4" x14ac:dyDescent="0.25">
      <c r="A70" s="1">
        <v>44983</v>
      </c>
      <c r="B70">
        <v>51.7</v>
      </c>
      <c r="C70">
        <f t="shared" si="2"/>
        <v>105.63955864323663</v>
      </c>
      <c r="D70">
        <f t="shared" si="3"/>
        <v>2.0126282557221844E-2</v>
      </c>
    </row>
    <row r="71" spans="1:4" x14ac:dyDescent="0.25">
      <c r="A71" s="1">
        <v>44990</v>
      </c>
      <c r="B71">
        <v>50.89</v>
      </c>
      <c r="C71">
        <f t="shared" si="2"/>
        <v>103.98447078054762</v>
      </c>
      <c r="D71">
        <f t="shared" si="3"/>
        <v>-1.5667311411992305E-2</v>
      </c>
    </row>
    <row r="72" spans="1:4" x14ac:dyDescent="0.25">
      <c r="A72" s="1">
        <v>44997</v>
      </c>
      <c r="B72">
        <v>48.88</v>
      </c>
      <c r="C72">
        <f t="shared" si="2"/>
        <v>99.877400899060092</v>
      </c>
      <c r="D72">
        <f t="shared" si="3"/>
        <v>-3.9496954214973436E-2</v>
      </c>
    </row>
    <row r="73" spans="1:4" x14ac:dyDescent="0.25">
      <c r="A73" s="1">
        <v>45004</v>
      </c>
      <c r="B73">
        <v>49.51</v>
      </c>
      <c r="C73">
        <f t="shared" si="2"/>
        <v>101.1646914589293</v>
      </c>
      <c r="D73">
        <f t="shared" si="3"/>
        <v>1.2888707037643114E-2</v>
      </c>
    </row>
    <row r="74" spans="1:4" x14ac:dyDescent="0.25">
      <c r="A74" s="1">
        <v>45011</v>
      </c>
      <c r="B74">
        <v>51.62</v>
      </c>
      <c r="C74">
        <f t="shared" si="2"/>
        <v>105.47609317531672</v>
      </c>
      <c r="D74">
        <f t="shared" si="3"/>
        <v>4.2617652999394053E-2</v>
      </c>
    </row>
    <row r="75" spans="1:4" x14ac:dyDescent="0.25">
      <c r="A75" s="1">
        <v>45018</v>
      </c>
      <c r="B75">
        <v>51.7</v>
      </c>
      <c r="C75">
        <f t="shared" si="2"/>
        <v>105.63955864323663</v>
      </c>
      <c r="D75">
        <f t="shared" si="3"/>
        <v>1.5497869043007634E-3</v>
      </c>
    </row>
    <row r="76" spans="1:4" x14ac:dyDescent="0.25">
      <c r="A76" s="1">
        <v>45025</v>
      </c>
      <c r="B76">
        <v>52.95</v>
      </c>
      <c r="C76">
        <f t="shared" si="2"/>
        <v>108.19370657948511</v>
      </c>
      <c r="D76">
        <f t="shared" si="3"/>
        <v>2.4177949709864602E-2</v>
      </c>
    </row>
    <row r="77" spans="1:4" x14ac:dyDescent="0.25">
      <c r="A77" s="1">
        <v>45032</v>
      </c>
      <c r="B77">
        <v>53.42</v>
      </c>
      <c r="C77">
        <f t="shared" si="2"/>
        <v>109.1540662035145</v>
      </c>
      <c r="D77">
        <f t="shared" si="3"/>
        <v>8.8762983947119709E-3</v>
      </c>
    </row>
    <row r="78" spans="1:4" x14ac:dyDescent="0.25">
      <c r="A78" s="1">
        <v>45039</v>
      </c>
      <c r="B78">
        <v>53.23</v>
      </c>
      <c r="C78">
        <f t="shared" si="2"/>
        <v>108.76583571720472</v>
      </c>
      <c r="D78">
        <f t="shared" si="3"/>
        <v>-3.5567203294647105E-3</v>
      </c>
    </row>
    <row r="79" spans="1:4" x14ac:dyDescent="0.25">
      <c r="A79" s="1">
        <v>45046</v>
      </c>
      <c r="B79">
        <v>52.88</v>
      </c>
      <c r="C79">
        <f t="shared" si="2"/>
        <v>108.05067429505517</v>
      </c>
      <c r="D79">
        <f t="shared" si="3"/>
        <v>-6.5752395265826474E-3</v>
      </c>
    </row>
    <row r="80" spans="1:4" x14ac:dyDescent="0.25">
      <c r="A80" s="1">
        <v>45053</v>
      </c>
      <c r="B80">
        <v>52.92</v>
      </c>
      <c r="C80">
        <f t="shared" si="2"/>
        <v>108.13240702901513</v>
      </c>
      <c r="D80">
        <f t="shared" si="3"/>
        <v>7.5642965204234392E-4</v>
      </c>
    </row>
    <row r="81" spans="1:4" x14ac:dyDescent="0.25">
      <c r="A81" s="1">
        <v>45060</v>
      </c>
      <c r="B81">
        <v>53.5</v>
      </c>
      <c r="C81">
        <f t="shared" si="2"/>
        <v>109.31753167143441</v>
      </c>
      <c r="D81">
        <f t="shared" si="3"/>
        <v>1.0959939531368069E-2</v>
      </c>
    </row>
    <row r="82" spans="1:4" x14ac:dyDescent="0.25">
      <c r="A82" s="1">
        <v>45067</v>
      </c>
      <c r="B82">
        <v>52.47</v>
      </c>
      <c r="C82">
        <f t="shared" si="2"/>
        <v>107.21291377196567</v>
      </c>
      <c r="D82">
        <f t="shared" si="3"/>
        <v>-1.9252336448598154E-2</v>
      </c>
    </row>
    <row r="83" spans="1:4" x14ac:dyDescent="0.25">
      <c r="A83" s="1">
        <v>45074</v>
      </c>
      <c r="B83">
        <v>52.38</v>
      </c>
      <c r="C83">
        <f t="shared" si="2"/>
        <v>107.0290151205558</v>
      </c>
      <c r="D83">
        <f t="shared" si="3"/>
        <v>-1.7152658662091922E-3</v>
      </c>
    </row>
    <row r="84" spans="1:4" x14ac:dyDescent="0.25">
      <c r="A84" s="1">
        <v>45081</v>
      </c>
      <c r="B84">
        <v>52</v>
      </c>
      <c r="C84">
        <f t="shared" si="2"/>
        <v>106.25255414793627</v>
      </c>
      <c r="D84">
        <f t="shared" si="3"/>
        <v>-7.2546773577701895E-3</v>
      </c>
    </row>
    <row r="85" spans="1:4" x14ac:dyDescent="0.25">
      <c r="A85" s="1">
        <v>45088</v>
      </c>
      <c r="B85">
        <v>53.24</v>
      </c>
      <c r="C85">
        <f t="shared" si="2"/>
        <v>108.78626890069474</v>
      </c>
      <c r="D85">
        <f t="shared" si="3"/>
        <v>2.3846153846153885E-2</v>
      </c>
    </row>
    <row r="86" spans="1:4" x14ac:dyDescent="0.25">
      <c r="A86" s="1">
        <v>45095</v>
      </c>
      <c r="B86">
        <v>51.63</v>
      </c>
      <c r="C86">
        <f t="shared" si="2"/>
        <v>105.4965263588067</v>
      </c>
      <c r="D86">
        <f t="shared" si="3"/>
        <v>-3.0240420736288492E-2</v>
      </c>
    </row>
    <row r="87" spans="1:4" x14ac:dyDescent="0.25">
      <c r="A87" s="1">
        <v>45102</v>
      </c>
      <c r="B87">
        <v>53.25</v>
      </c>
      <c r="C87">
        <f t="shared" si="2"/>
        <v>108.80670208418472</v>
      </c>
      <c r="D87">
        <f t="shared" si="3"/>
        <v>3.1377106333526965E-2</v>
      </c>
    </row>
    <row r="88" spans="1:4" x14ac:dyDescent="0.25">
      <c r="A88" s="1">
        <v>45109</v>
      </c>
      <c r="B88">
        <v>51.24</v>
      </c>
      <c r="C88">
        <f t="shared" si="2"/>
        <v>104.69963220269717</v>
      </c>
      <c r="D88">
        <f t="shared" si="3"/>
        <v>-3.7746478873239397E-2</v>
      </c>
    </row>
    <row r="89" spans="1:4" x14ac:dyDescent="0.25">
      <c r="A89" s="1">
        <v>45116</v>
      </c>
      <c r="B89">
        <v>53.12</v>
      </c>
      <c r="C89">
        <f t="shared" si="2"/>
        <v>108.54107069881486</v>
      </c>
      <c r="D89">
        <f t="shared" si="3"/>
        <v>3.6690085870413648E-2</v>
      </c>
    </row>
    <row r="90" spans="1:4" x14ac:dyDescent="0.25">
      <c r="A90" s="1">
        <v>45123</v>
      </c>
      <c r="B90">
        <v>53.5</v>
      </c>
      <c r="C90">
        <f t="shared" si="2"/>
        <v>109.31753167143441</v>
      </c>
      <c r="D90">
        <f t="shared" si="3"/>
        <v>7.1536144578313735E-3</v>
      </c>
    </row>
    <row r="91" spans="1:4" x14ac:dyDescent="0.25">
      <c r="A91" s="1">
        <v>45130</v>
      </c>
      <c r="B91">
        <v>53.72</v>
      </c>
      <c r="C91">
        <f t="shared" si="2"/>
        <v>109.76706170821416</v>
      </c>
      <c r="D91">
        <f t="shared" si="3"/>
        <v>4.1121495327102594E-3</v>
      </c>
    </row>
    <row r="92" spans="1:4" x14ac:dyDescent="0.25">
      <c r="A92" s="1">
        <v>45137</v>
      </c>
      <c r="B92">
        <v>52.52</v>
      </c>
      <c r="C92">
        <f t="shared" si="2"/>
        <v>107.31507968941563</v>
      </c>
      <c r="D92">
        <f t="shared" si="3"/>
        <v>-2.2338049143708037E-2</v>
      </c>
    </row>
    <row r="93" spans="1:4" x14ac:dyDescent="0.25">
      <c r="A93" s="1">
        <v>45144</v>
      </c>
      <c r="B93">
        <v>52.7</v>
      </c>
      <c r="C93">
        <f t="shared" si="2"/>
        <v>107.68287699223539</v>
      </c>
      <c r="D93">
        <f t="shared" si="3"/>
        <v>3.4272658035034214E-3</v>
      </c>
    </row>
    <row r="94" spans="1:4" x14ac:dyDescent="0.25">
      <c r="A94" s="1">
        <v>45151</v>
      </c>
      <c r="B94">
        <v>51.44</v>
      </c>
      <c r="C94">
        <f t="shared" si="2"/>
        <v>105.10829587249692</v>
      </c>
      <c r="D94">
        <f t="shared" si="3"/>
        <v>-2.3908918406072201E-2</v>
      </c>
    </row>
    <row r="95" spans="1:4" x14ac:dyDescent="0.25">
      <c r="A95" s="1">
        <v>45158</v>
      </c>
      <c r="B95">
        <v>51.91</v>
      </c>
      <c r="C95">
        <f t="shared" si="2"/>
        <v>106.06865549652636</v>
      </c>
      <c r="D95">
        <f t="shared" si="3"/>
        <v>9.1368584758942245E-3</v>
      </c>
    </row>
    <row r="96" spans="1:4" x14ac:dyDescent="0.25">
      <c r="A96" s="1">
        <v>45165</v>
      </c>
      <c r="B96">
        <v>52.42</v>
      </c>
      <c r="C96">
        <f t="shared" si="2"/>
        <v>107.11074785451574</v>
      </c>
      <c r="D96">
        <f t="shared" si="3"/>
        <v>9.8246965902524588E-3</v>
      </c>
    </row>
    <row r="97" spans="1:4" x14ac:dyDescent="0.25">
      <c r="A97" s="1">
        <v>45172</v>
      </c>
      <c r="B97">
        <v>51.96</v>
      </c>
      <c r="C97">
        <f t="shared" si="2"/>
        <v>106.17082141397631</v>
      </c>
      <c r="D97">
        <f t="shared" si="3"/>
        <v>-8.7752766119801769E-3</v>
      </c>
    </row>
    <row r="98" spans="1:4" x14ac:dyDescent="0.25">
      <c r="A98" s="1">
        <v>45179</v>
      </c>
      <c r="B98">
        <v>52.8</v>
      </c>
      <c r="C98">
        <f t="shared" si="2"/>
        <v>107.88720882713527</v>
      </c>
      <c r="D98">
        <f t="shared" si="3"/>
        <v>1.6166281755196233E-2</v>
      </c>
    </row>
    <row r="99" spans="1:4" x14ac:dyDescent="0.25">
      <c r="A99" s="1">
        <v>45186</v>
      </c>
      <c r="B99">
        <v>51.39</v>
      </c>
      <c r="C99">
        <f t="shared" si="2"/>
        <v>105.00612995504702</v>
      </c>
      <c r="D99">
        <f t="shared" si="3"/>
        <v>-2.6704545454545391E-2</v>
      </c>
    </row>
    <row r="100" spans="1:4" x14ac:dyDescent="0.25">
      <c r="A100" s="1">
        <v>45193</v>
      </c>
      <c r="B100">
        <v>51</v>
      </c>
      <c r="C100">
        <f t="shared" si="2"/>
        <v>104.20923579893748</v>
      </c>
      <c r="D100">
        <f t="shared" si="3"/>
        <v>-7.5890251021599646E-3</v>
      </c>
    </row>
    <row r="101" spans="1:4" x14ac:dyDescent="0.25">
      <c r="A101" s="1">
        <v>45200</v>
      </c>
      <c r="B101">
        <v>50.49</v>
      </c>
      <c r="C101">
        <f t="shared" si="2"/>
        <v>103.16714344094811</v>
      </c>
      <c r="D101">
        <f t="shared" si="3"/>
        <v>-9.9999999999999603E-3</v>
      </c>
    </row>
    <row r="102" spans="1:4" x14ac:dyDescent="0.25">
      <c r="A102" s="1">
        <v>45207</v>
      </c>
      <c r="B102">
        <v>49.94</v>
      </c>
      <c r="C102">
        <f t="shared" si="2"/>
        <v>102.04331834899878</v>
      </c>
      <c r="D102">
        <f t="shared" si="3"/>
        <v>-1.0893246187363918E-2</v>
      </c>
    </row>
    <row r="103" spans="1:4" x14ac:dyDescent="0.25">
      <c r="A103" s="1">
        <v>45214</v>
      </c>
      <c r="B103">
        <v>48.69</v>
      </c>
      <c r="C103">
        <f t="shared" si="2"/>
        <v>99.489170412750312</v>
      </c>
      <c r="D103">
        <f t="shared" si="3"/>
        <v>-2.5030036043251904E-2</v>
      </c>
    </row>
    <row r="104" spans="1:4" x14ac:dyDescent="0.25">
      <c r="A104" s="1">
        <v>45221</v>
      </c>
      <c r="B104">
        <v>48.51</v>
      </c>
      <c r="C104">
        <f t="shared" si="2"/>
        <v>99.121373109930531</v>
      </c>
      <c r="D104">
        <f t="shared" si="3"/>
        <v>-3.6968576709796616E-3</v>
      </c>
    </row>
    <row r="105" spans="1:4" x14ac:dyDescent="0.25">
      <c r="A105" s="1">
        <v>45228</v>
      </c>
      <c r="B105">
        <v>50.33</v>
      </c>
      <c r="C105">
        <f t="shared" si="2"/>
        <v>102.84021250510831</v>
      </c>
      <c r="D105">
        <f t="shared" si="3"/>
        <v>3.7518037518037527E-2</v>
      </c>
    </row>
    <row r="106" spans="1:4" x14ac:dyDescent="0.25">
      <c r="A106" s="1">
        <v>45235</v>
      </c>
      <c r="B106">
        <v>50.32</v>
      </c>
      <c r="C106">
        <f t="shared" si="2"/>
        <v>102.81977932161833</v>
      </c>
      <c r="D106">
        <f t="shared" si="3"/>
        <v>-1.9868865487776696E-4</v>
      </c>
    </row>
    <row r="107" spans="1:4" x14ac:dyDescent="0.25">
      <c r="A107" s="1">
        <v>45242</v>
      </c>
      <c r="B107">
        <v>51.7</v>
      </c>
      <c r="C107">
        <f t="shared" si="2"/>
        <v>105.63955864323663</v>
      </c>
      <c r="D107">
        <f t="shared" si="3"/>
        <v>2.7424483306836299E-2</v>
      </c>
    </row>
    <row r="108" spans="1:4" x14ac:dyDescent="0.25">
      <c r="A108" s="1">
        <v>45249</v>
      </c>
      <c r="B108">
        <v>52.13</v>
      </c>
      <c r="C108">
        <f t="shared" si="2"/>
        <v>106.5181855333061</v>
      </c>
      <c r="D108">
        <f t="shared" si="3"/>
        <v>8.317214700193417E-3</v>
      </c>
    </row>
    <row r="109" spans="1:4" x14ac:dyDescent="0.25">
      <c r="A109" s="1">
        <v>45256</v>
      </c>
      <c r="B109">
        <v>52.45</v>
      </c>
      <c r="C109">
        <f t="shared" si="2"/>
        <v>107.17204740498572</v>
      </c>
      <c r="D109">
        <f t="shared" si="3"/>
        <v>6.1384999040859445E-3</v>
      </c>
    </row>
    <row r="110" spans="1:4" x14ac:dyDescent="0.25">
      <c r="A110" s="1">
        <v>45263</v>
      </c>
      <c r="B110">
        <v>53.85</v>
      </c>
      <c r="C110">
        <f t="shared" si="2"/>
        <v>110.03269309358399</v>
      </c>
      <c r="D110">
        <f t="shared" si="3"/>
        <v>2.6692087702573853E-2</v>
      </c>
    </row>
    <row r="111" spans="1:4" x14ac:dyDescent="0.25">
      <c r="A111" s="1">
        <v>45270</v>
      </c>
      <c r="B111">
        <v>54.44</v>
      </c>
      <c r="C111">
        <f t="shared" si="2"/>
        <v>111.23825091949327</v>
      </c>
      <c r="D111">
        <f t="shared" si="3"/>
        <v>1.0956360259981361E-2</v>
      </c>
    </row>
    <row r="112" spans="1:4" x14ac:dyDescent="0.25">
      <c r="A112" s="1">
        <v>45277</v>
      </c>
      <c r="B112">
        <v>54.25</v>
      </c>
      <c r="C112">
        <f t="shared" si="2"/>
        <v>110.8500204331835</v>
      </c>
      <c r="D112">
        <f t="shared" si="3"/>
        <v>-3.4900808229242786E-3</v>
      </c>
    </row>
    <row r="113" spans="1:4" x14ac:dyDescent="0.25">
      <c r="A113" s="1">
        <v>45284</v>
      </c>
      <c r="B113">
        <v>54.2</v>
      </c>
      <c r="C113">
        <f t="shared" si="2"/>
        <v>110.74785451573356</v>
      </c>
      <c r="D113">
        <f t="shared" si="3"/>
        <v>-9.2165898617506284E-4</v>
      </c>
    </row>
    <row r="114" spans="1:4" x14ac:dyDescent="0.25">
      <c r="A114" s="1">
        <v>45291</v>
      </c>
      <c r="B114">
        <v>53.15</v>
      </c>
      <c r="C114">
        <f t="shared" si="2"/>
        <v>108.60237024928483</v>
      </c>
      <c r="D114">
        <f t="shared" si="3"/>
        <v>-1.9372693726937347E-2</v>
      </c>
    </row>
    <row r="115" spans="1:4" x14ac:dyDescent="0.25">
      <c r="A115" s="1">
        <v>45298</v>
      </c>
      <c r="B115">
        <v>53.42</v>
      </c>
      <c r="C115">
        <f t="shared" si="2"/>
        <v>109.1540662035145</v>
      </c>
      <c r="D115">
        <f t="shared" si="3"/>
        <v>5.0799623706491654E-3</v>
      </c>
    </row>
    <row r="116" spans="1:4" x14ac:dyDescent="0.25">
      <c r="A116" s="1">
        <v>45305</v>
      </c>
      <c r="B116">
        <v>52.79</v>
      </c>
      <c r="C116">
        <f t="shared" si="2"/>
        <v>107.86677564364528</v>
      </c>
      <c r="D116">
        <f t="shared" si="3"/>
        <v>-1.1793335829277472E-2</v>
      </c>
    </row>
    <row r="117" spans="1:4" x14ac:dyDescent="0.25">
      <c r="A117" s="1">
        <v>45312</v>
      </c>
      <c r="B117">
        <v>54.77</v>
      </c>
      <c r="C117">
        <f t="shared" si="2"/>
        <v>111.91254597466286</v>
      </c>
      <c r="D117">
        <f t="shared" si="3"/>
        <v>3.7507103618109564E-2</v>
      </c>
    </row>
    <row r="118" spans="1:4" x14ac:dyDescent="0.25">
      <c r="A118" s="1">
        <v>45319</v>
      </c>
      <c r="B118">
        <v>54.4</v>
      </c>
      <c r="C118">
        <f t="shared" si="2"/>
        <v>111.15651818553332</v>
      </c>
      <c r="D118">
        <f t="shared" si="3"/>
        <v>-6.7555230965858047E-3</v>
      </c>
    </row>
    <row r="119" spans="1:4" x14ac:dyDescent="0.25">
      <c r="A119" s="1">
        <v>45326</v>
      </c>
      <c r="B119">
        <v>54.69</v>
      </c>
      <c r="C119">
        <f t="shared" si="2"/>
        <v>111.74908050674294</v>
      </c>
      <c r="D119">
        <f t="shared" si="3"/>
        <v>5.330882352941161E-3</v>
      </c>
    </row>
    <row r="120" spans="1:4" x14ac:dyDescent="0.25">
      <c r="A120" s="1">
        <v>45333</v>
      </c>
      <c r="B120">
        <v>55.5</v>
      </c>
      <c r="C120">
        <f t="shared" si="2"/>
        <v>113.40416836943197</v>
      </c>
      <c r="D120">
        <f t="shared" si="3"/>
        <v>1.4810751508502511E-2</v>
      </c>
    </row>
    <row r="121" spans="1:4" x14ac:dyDescent="0.25">
      <c r="A121" s="1">
        <v>45340</v>
      </c>
      <c r="B121">
        <v>56.88</v>
      </c>
      <c r="C121">
        <f t="shared" si="2"/>
        <v>116.22394769105027</v>
      </c>
      <c r="D121">
        <f t="shared" si="3"/>
        <v>2.4864864864864909E-2</v>
      </c>
    </row>
    <row r="122" spans="1:4" x14ac:dyDescent="0.25">
      <c r="A122" s="1">
        <v>45347</v>
      </c>
      <c r="B122">
        <v>56.62</v>
      </c>
      <c r="C122">
        <f t="shared" si="2"/>
        <v>115.6926849203106</v>
      </c>
      <c r="D122">
        <f t="shared" si="3"/>
        <v>-4.5710267229255464E-3</v>
      </c>
    </row>
    <row r="123" spans="1:4" x14ac:dyDescent="0.25">
      <c r="A123" s="1">
        <v>45354</v>
      </c>
      <c r="B123">
        <v>57.15</v>
      </c>
      <c r="C123">
        <f t="shared" si="2"/>
        <v>116.77564364527994</v>
      </c>
      <c r="D123">
        <f t="shared" si="3"/>
        <v>9.3606499470152097E-3</v>
      </c>
    </row>
    <row r="124" spans="1:4" x14ac:dyDescent="0.25">
      <c r="A124" s="1">
        <v>45361</v>
      </c>
      <c r="B124">
        <v>58.1</v>
      </c>
      <c r="C124">
        <f t="shared" si="2"/>
        <v>118.71679607682877</v>
      </c>
      <c r="D124">
        <f t="shared" si="3"/>
        <v>1.6622922134733209E-2</v>
      </c>
    </row>
    <row r="125" spans="1:4" x14ac:dyDescent="0.25">
      <c r="A125" s="1">
        <v>45368</v>
      </c>
      <c r="B125">
        <v>57.94</v>
      </c>
      <c r="C125">
        <f t="shared" si="2"/>
        <v>118.38986514098897</v>
      </c>
      <c r="D125">
        <f t="shared" si="3"/>
        <v>-2.7538726333907692E-3</v>
      </c>
    </row>
    <row r="126" spans="1:4" x14ac:dyDescent="0.25">
      <c r="A126" s="1">
        <v>45375</v>
      </c>
      <c r="B126">
        <v>58.43</v>
      </c>
      <c r="C126">
        <f t="shared" si="2"/>
        <v>119.39109113199837</v>
      </c>
      <c r="D126">
        <f t="shared" si="3"/>
        <v>8.4570245081118742E-3</v>
      </c>
    </row>
    <row r="127" spans="1:4" x14ac:dyDescent="0.25">
      <c r="A127" s="1">
        <v>45382</v>
      </c>
      <c r="B127">
        <v>57.37</v>
      </c>
      <c r="C127">
        <f t="shared" si="2"/>
        <v>117.22517368205968</v>
      </c>
      <c r="D127">
        <f t="shared" si="3"/>
        <v>-1.8141365736779092E-2</v>
      </c>
    </row>
    <row r="128" spans="1:4" x14ac:dyDescent="0.25">
      <c r="A128" s="1">
        <v>45389</v>
      </c>
      <c r="B128">
        <v>56.95</v>
      </c>
      <c r="C128">
        <f t="shared" si="2"/>
        <v>116.36697997548021</v>
      </c>
      <c r="D128">
        <f t="shared" si="3"/>
        <v>-7.3208994247863802E-3</v>
      </c>
    </row>
    <row r="129" spans="1:4" x14ac:dyDescent="0.25">
      <c r="A129" s="1">
        <v>45396</v>
      </c>
      <c r="B129">
        <v>57.06</v>
      </c>
      <c r="C129">
        <f t="shared" si="2"/>
        <v>116.59174499387007</v>
      </c>
      <c r="D129">
        <f t="shared" si="3"/>
        <v>1.9315188762071892E-3</v>
      </c>
    </row>
    <row r="130" spans="1:4" x14ac:dyDescent="0.25">
      <c r="A130" s="1">
        <v>45403</v>
      </c>
      <c r="B130">
        <v>57.82</v>
      </c>
      <c r="C130">
        <f t="shared" ref="C130:C193" si="4">100*(B130/$B$2)</f>
        <v>118.14466693910913</v>
      </c>
      <c r="D130">
        <f t="shared" si="3"/>
        <v>1.3319313003855556E-2</v>
      </c>
    </row>
    <row r="131" spans="1:4" x14ac:dyDescent="0.25">
      <c r="A131" s="1">
        <v>45410</v>
      </c>
      <c r="B131">
        <v>57.4</v>
      </c>
      <c r="C131">
        <f t="shared" si="4"/>
        <v>117.28647323252963</v>
      </c>
      <c r="D131">
        <f t="shared" si="3"/>
        <v>-7.2639225181598361E-3</v>
      </c>
    </row>
    <row r="132" spans="1:4" x14ac:dyDescent="0.25">
      <c r="A132" s="1">
        <v>45417</v>
      </c>
      <c r="B132">
        <v>59.45</v>
      </c>
      <c r="C132">
        <f t="shared" si="4"/>
        <v>121.47527584797713</v>
      </c>
      <c r="D132">
        <f t="shared" ref="D132:D195" si="5">(B132-B131)/B131</f>
        <v>3.5714285714285789E-2</v>
      </c>
    </row>
    <row r="133" spans="1:4" x14ac:dyDescent="0.25">
      <c r="A133" s="1">
        <v>45424</v>
      </c>
      <c r="B133">
        <v>59.09</v>
      </c>
      <c r="C133">
        <f t="shared" si="4"/>
        <v>120.73968124233755</v>
      </c>
      <c r="D133">
        <f t="shared" si="5"/>
        <v>-6.0555088309503687E-3</v>
      </c>
    </row>
    <row r="134" spans="1:4" x14ac:dyDescent="0.25">
      <c r="A134" s="1">
        <v>45431</v>
      </c>
      <c r="B134">
        <v>58.81</v>
      </c>
      <c r="C134">
        <f t="shared" si="4"/>
        <v>120.16755210461791</v>
      </c>
      <c r="D134">
        <f t="shared" si="5"/>
        <v>-4.7385344389913884E-3</v>
      </c>
    </row>
    <row r="135" spans="1:4" x14ac:dyDescent="0.25">
      <c r="A135" s="1">
        <v>45438</v>
      </c>
      <c r="B135">
        <v>58.32</v>
      </c>
      <c r="C135">
        <f t="shared" si="4"/>
        <v>119.16632611360851</v>
      </c>
      <c r="D135">
        <f t="shared" si="5"/>
        <v>-8.3319163407584076E-3</v>
      </c>
    </row>
    <row r="136" spans="1:4" x14ac:dyDescent="0.25">
      <c r="A136" s="1">
        <v>45445</v>
      </c>
      <c r="B136">
        <v>58.5</v>
      </c>
      <c r="C136">
        <f t="shared" si="4"/>
        <v>119.53412341642829</v>
      </c>
      <c r="D136">
        <f t="shared" si="5"/>
        <v>3.0864197530864148E-3</v>
      </c>
    </row>
    <row r="137" spans="1:4" x14ac:dyDescent="0.25">
      <c r="A137" s="1">
        <v>45452</v>
      </c>
      <c r="B137">
        <v>54.87</v>
      </c>
      <c r="C137">
        <f t="shared" si="4"/>
        <v>112.11687780956272</v>
      </c>
      <c r="D137">
        <f t="shared" si="5"/>
        <v>-6.2051282051282096E-2</v>
      </c>
    </row>
    <row r="138" spans="1:4" x14ac:dyDescent="0.25">
      <c r="A138" s="1">
        <v>45459</v>
      </c>
      <c r="B138">
        <v>55.93</v>
      </c>
      <c r="C138">
        <f t="shared" si="4"/>
        <v>114.28279525950143</v>
      </c>
      <c r="D138">
        <f t="shared" si="5"/>
        <v>1.9318388919263758E-2</v>
      </c>
    </row>
    <row r="139" spans="1:4" x14ac:dyDescent="0.25">
      <c r="A139" s="1">
        <v>45466</v>
      </c>
      <c r="B139">
        <v>54.85</v>
      </c>
      <c r="C139">
        <f t="shared" si="4"/>
        <v>112.07601144258277</v>
      </c>
      <c r="D139">
        <f t="shared" si="5"/>
        <v>-1.9309851600214523E-2</v>
      </c>
    </row>
    <row r="140" spans="1:4" x14ac:dyDescent="0.25">
      <c r="A140" s="1">
        <v>45473</v>
      </c>
      <c r="B140">
        <v>56.36</v>
      </c>
      <c r="C140">
        <f t="shared" si="4"/>
        <v>115.1614221495709</v>
      </c>
      <c r="D140">
        <f t="shared" si="5"/>
        <v>2.7529626253418378E-2</v>
      </c>
    </row>
    <row r="141" spans="1:4" x14ac:dyDescent="0.25">
      <c r="A141" s="1">
        <v>45480</v>
      </c>
      <c r="B141">
        <v>56.72</v>
      </c>
      <c r="C141">
        <f t="shared" si="4"/>
        <v>115.89701675521047</v>
      </c>
      <c r="D141">
        <f t="shared" si="5"/>
        <v>6.3875088715400893E-3</v>
      </c>
    </row>
    <row r="142" spans="1:4" x14ac:dyDescent="0.25">
      <c r="A142" s="1">
        <v>45487</v>
      </c>
      <c r="B142">
        <v>55.29</v>
      </c>
      <c r="C142">
        <f t="shared" si="4"/>
        <v>112.97507151614221</v>
      </c>
      <c r="D142">
        <f t="shared" si="5"/>
        <v>-2.5211565585331448E-2</v>
      </c>
    </row>
    <row r="143" spans="1:4" x14ac:dyDescent="0.25">
      <c r="A143" s="1">
        <v>45494</v>
      </c>
      <c r="B143">
        <v>55.4</v>
      </c>
      <c r="C143">
        <f t="shared" si="4"/>
        <v>113.19983653453207</v>
      </c>
      <c r="D143">
        <f t="shared" si="5"/>
        <v>1.9895098571170093E-3</v>
      </c>
    </row>
    <row r="144" spans="1:4" x14ac:dyDescent="0.25">
      <c r="A144" s="1">
        <v>45501</v>
      </c>
      <c r="B144">
        <v>53.57</v>
      </c>
      <c r="C144">
        <f t="shared" si="4"/>
        <v>109.46056395586432</v>
      </c>
      <c r="D144">
        <f t="shared" si="5"/>
        <v>-3.3032490974729212E-2</v>
      </c>
    </row>
    <row r="145" spans="1:4" x14ac:dyDescent="0.25">
      <c r="A145" s="1">
        <v>45508</v>
      </c>
      <c r="B145">
        <v>53.68</v>
      </c>
      <c r="C145">
        <f t="shared" si="4"/>
        <v>109.6853289742542</v>
      </c>
      <c r="D145">
        <f t="shared" si="5"/>
        <v>2.0533880903490652E-3</v>
      </c>
    </row>
    <row r="146" spans="1:4" x14ac:dyDescent="0.25">
      <c r="A146" s="1">
        <v>45515</v>
      </c>
      <c r="B146">
        <v>54.98</v>
      </c>
      <c r="C146">
        <f t="shared" si="4"/>
        <v>112.3416428279526</v>
      </c>
      <c r="D146">
        <f t="shared" si="5"/>
        <v>2.4217585692995477E-2</v>
      </c>
    </row>
    <row r="147" spans="1:4" x14ac:dyDescent="0.25">
      <c r="A147" s="1">
        <v>45522</v>
      </c>
      <c r="B147">
        <v>56</v>
      </c>
      <c r="C147">
        <f t="shared" si="4"/>
        <v>114.42582754393136</v>
      </c>
      <c r="D147">
        <f t="shared" si="5"/>
        <v>1.8552200800291074E-2</v>
      </c>
    </row>
    <row r="148" spans="1:4" x14ac:dyDescent="0.25">
      <c r="A148" s="1">
        <v>45529</v>
      </c>
      <c r="B148">
        <v>56.38</v>
      </c>
      <c r="C148">
        <f t="shared" si="4"/>
        <v>115.20228851655089</v>
      </c>
      <c r="D148">
        <f t="shared" si="5"/>
        <v>6.7857142857143315E-3</v>
      </c>
    </row>
    <row r="149" spans="1:4" x14ac:dyDescent="0.25">
      <c r="A149" s="1">
        <v>45536</v>
      </c>
      <c r="B149">
        <v>54.37</v>
      </c>
      <c r="C149">
        <f t="shared" si="4"/>
        <v>111.09521863506335</v>
      </c>
      <c r="D149">
        <f t="shared" si="5"/>
        <v>-3.5650940049663092E-2</v>
      </c>
    </row>
    <row r="150" spans="1:4" x14ac:dyDescent="0.25">
      <c r="A150" s="1">
        <v>45543</v>
      </c>
      <c r="B150">
        <v>55.22</v>
      </c>
      <c r="C150">
        <f t="shared" si="4"/>
        <v>112.8320392317123</v>
      </c>
      <c r="D150">
        <f t="shared" si="5"/>
        <v>1.5633621482435193E-2</v>
      </c>
    </row>
    <row r="151" spans="1:4" x14ac:dyDescent="0.25">
      <c r="A151" s="1">
        <v>45550</v>
      </c>
      <c r="B151">
        <v>55.52</v>
      </c>
      <c r="C151">
        <f t="shared" si="4"/>
        <v>113.44503473641194</v>
      </c>
      <c r="D151">
        <f t="shared" si="5"/>
        <v>5.4328141977545144E-3</v>
      </c>
    </row>
    <row r="152" spans="1:4" x14ac:dyDescent="0.25">
      <c r="A152" s="1">
        <v>45557</v>
      </c>
      <c r="B152">
        <v>57.68</v>
      </c>
      <c r="C152">
        <f t="shared" si="4"/>
        <v>117.8586023702493</v>
      </c>
      <c r="D152">
        <f t="shared" si="5"/>
        <v>3.8904899135446619E-2</v>
      </c>
    </row>
    <row r="153" spans="1:4" x14ac:dyDescent="0.25">
      <c r="A153" s="1">
        <v>45564</v>
      </c>
      <c r="B153">
        <v>55.95</v>
      </c>
      <c r="C153">
        <f t="shared" si="4"/>
        <v>114.32366162648142</v>
      </c>
      <c r="D153">
        <f t="shared" si="5"/>
        <v>-2.999306518723989E-2</v>
      </c>
    </row>
    <row r="154" spans="1:4" x14ac:dyDescent="0.25">
      <c r="A154" s="1">
        <v>45571</v>
      </c>
      <c r="B154">
        <v>56.22</v>
      </c>
      <c r="C154">
        <f t="shared" si="4"/>
        <v>114.87535758071108</v>
      </c>
      <c r="D154">
        <f t="shared" si="5"/>
        <v>4.8257372654154779E-3</v>
      </c>
    </row>
    <row r="155" spans="1:4" x14ac:dyDescent="0.25">
      <c r="A155" s="1">
        <v>45578</v>
      </c>
      <c r="B155">
        <v>56.39</v>
      </c>
      <c r="C155">
        <f t="shared" si="4"/>
        <v>115.22272170004086</v>
      </c>
      <c r="D155">
        <f t="shared" si="5"/>
        <v>3.0238349341871525E-3</v>
      </c>
    </row>
    <row r="156" spans="1:4" x14ac:dyDescent="0.25">
      <c r="A156" s="1">
        <v>45585</v>
      </c>
      <c r="B156">
        <v>55.49</v>
      </c>
      <c r="C156">
        <f t="shared" si="4"/>
        <v>113.38373518594199</v>
      </c>
      <c r="D156">
        <f t="shared" si="5"/>
        <v>-1.596027664479515E-2</v>
      </c>
    </row>
    <row r="157" spans="1:4" x14ac:dyDescent="0.25">
      <c r="A157" s="1">
        <v>45592</v>
      </c>
      <c r="B157">
        <v>54.84</v>
      </c>
      <c r="C157">
        <f t="shared" si="4"/>
        <v>112.05557825909278</v>
      </c>
      <c r="D157">
        <f t="shared" si="5"/>
        <v>-1.1713822310326159E-2</v>
      </c>
    </row>
    <row r="158" spans="1:4" x14ac:dyDescent="0.25">
      <c r="A158" s="1">
        <v>45599</v>
      </c>
      <c r="B158">
        <v>54.3</v>
      </c>
      <c r="C158">
        <f t="shared" si="4"/>
        <v>110.95218635063343</v>
      </c>
      <c r="D158">
        <f t="shared" si="5"/>
        <v>-9.8468271334793255E-3</v>
      </c>
    </row>
    <row r="159" spans="1:4" x14ac:dyDescent="0.25">
      <c r="A159" s="1">
        <v>45606</v>
      </c>
      <c r="B159">
        <v>53.8</v>
      </c>
      <c r="C159">
        <f t="shared" si="4"/>
        <v>109.93052717613405</v>
      </c>
      <c r="D159">
        <f t="shared" si="5"/>
        <v>-9.2081031307550652E-3</v>
      </c>
    </row>
    <row r="160" spans="1:4" x14ac:dyDescent="0.25">
      <c r="A160" s="1">
        <v>45613</v>
      </c>
      <c r="B160">
        <v>53.71</v>
      </c>
      <c r="C160">
        <f t="shared" si="4"/>
        <v>109.74662852472417</v>
      </c>
      <c r="D160">
        <f t="shared" si="5"/>
        <v>-1.6728624535315298E-3</v>
      </c>
    </row>
    <row r="161" spans="1:4" x14ac:dyDescent="0.25">
      <c r="A161" s="1">
        <v>45620</v>
      </c>
      <c r="B161">
        <v>53.56</v>
      </c>
      <c r="C161">
        <f t="shared" si="4"/>
        <v>109.44013077237436</v>
      </c>
      <c r="D161">
        <f t="shared" si="5"/>
        <v>-2.7927760193632205E-3</v>
      </c>
    </row>
    <row r="162" spans="1:4" x14ac:dyDescent="0.25">
      <c r="A162" s="1">
        <v>45627</v>
      </c>
      <c r="B162">
        <v>55.04</v>
      </c>
      <c r="C162">
        <f t="shared" si="4"/>
        <v>112.46424192889253</v>
      </c>
      <c r="D162">
        <f t="shared" si="5"/>
        <v>2.7632561613144077E-2</v>
      </c>
    </row>
    <row r="163" spans="1:4" x14ac:dyDescent="0.25">
      <c r="A163" s="1">
        <v>45634</v>
      </c>
      <c r="B163">
        <v>54.91</v>
      </c>
      <c r="C163">
        <f t="shared" si="4"/>
        <v>112.19861054352268</v>
      </c>
      <c r="D163">
        <f t="shared" si="5"/>
        <v>-2.3619186046512095E-3</v>
      </c>
    </row>
    <row r="164" spans="1:4" x14ac:dyDescent="0.25">
      <c r="A164" s="1">
        <v>45641</v>
      </c>
      <c r="B164">
        <v>53.95</v>
      </c>
      <c r="C164">
        <f t="shared" si="4"/>
        <v>110.23702492848386</v>
      </c>
      <c r="D164">
        <f t="shared" si="5"/>
        <v>-1.7483154252412928E-2</v>
      </c>
    </row>
    <row r="165" spans="1:4" x14ac:dyDescent="0.25">
      <c r="A165" s="1">
        <v>45648</v>
      </c>
      <c r="B165">
        <v>54.49</v>
      </c>
      <c r="C165">
        <f t="shared" si="4"/>
        <v>111.34041683694321</v>
      </c>
      <c r="D165">
        <f t="shared" si="5"/>
        <v>1.0009267840593125E-2</v>
      </c>
    </row>
    <row r="166" spans="1:4" x14ac:dyDescent="0.25">
      <c r="A166" s="1">
        <v>45655</v>
      </c>
      <c r="B166">
        <v>54.02</v>
      </c>
      <c r="C166">
        <f t="shared" si="4"/>
        <v>110.38005721291377</v>
      </c>
      <c r="D166">
        <f t="shared" si="5"/>
        <v>-8.6254358597907654E-3</v>
      </c>
    </row>
    <row r="167" spans="1:4" x14ac:dyDescent="0.25">
      <c r="A167" s="1">
        <v>45662</v>
      </c>
      <c r="B167">
        <v>55.07</v>
      </c>
      <c r="C167">
        <f t="shared" si="4"/>
        <v>112.52554147936249</v>
      </c>
      <c r="D167">
        <f t="shared" si="5"/>
        <v>1.943724546464267E-2</v>
      </c>
    </row>
    <row r="168" spans="1:4" x14ac:dyDescent="0.25">
      <c r="A168" s="1">
        <v>45669</v>
      </c>
      <c r="B168">
        <v>57.13</v>
      </c>
      <c r="C168">
        <f t="shared" si="4"/>
        <v>116.73477727829997</v>
      </c>
      <c r="D168">
        <f t="shared" si="5"/>
        <v>3.7406936626112261E-2</v>
      </c>
    </row>
    <row r="169" spans="1:4" x14ac:dyDescent="0.25">
      <c r="A169" s="1">
        <v>45676</v>
      </c>
      <c r="B169">
        <v>58.7</v>
      </c>
      <c r="C169">
        <f t="shared" si="4"/>
        <v>119.94278708622805</v>
      </c>
      <c r="D169">
        <f t="shared" si="5"/>
        <v>2.7481183266234905E-2</v>
      </c>
    </row>
    <row r="170" spans="1:4" x14ac:dyDescent="0.25">
      <c r="A170" s="1">
        <v>45683</v>
      </c>
      <c r="B170">
        <v>58.88</v>
      </c>
      <c r="C170">
        <f t="shared" si="4"/>
        <v>120.31058438904782</v>
      </c>
      <c r="D170">
        <f t="shared" si="5"/>
        <v>3.0664395229982916E-3</v>
      </c>
    </row>
    <row r="171" spans="1:4" x14ac:dyDescent="0.25">
      <c r="A171" s="1">
        <v>45690</v>
      </c>
      <c r="B171">
        <v>59.07</v>
      </c>
      <c r="C171">
        <f t="shared" si="4"/>
        <v>120.69881487535758</v>
      </c>
      <c r="D171">
        <f t="shared" si="5"/>
        <v>3.2269021739130049E-3</v>
      </c>
    </row>
    <row r="172" spans="1:4" x14ac:dyDescent="0.25">
      <c r="A172" s="1">
        <v>45697</v>
      </c>
      <c r="B172">
        <v>60.5</v>
      </c>
      <c r="C172">
        <f t="shared" si="4"/>
        <v>123.62076011442585</v>
      </c>
      <c r="D172">
        <f t="shared" si="5"/>
        <v>2.4208566108007444E-2</v>
      </c>
    </row>
    <row r="173" spans="1:4" x14ac:dyDescent="0.25">
      <c r="A173" s="1">
        <v>45704</v>
      </c>
      <c r="B173">
        <v>60.28</v>
      </c>
      <c r="C173">
        <f t="shared" si="4"/>
        <v>123.1712300776461</v>
      </c>
      <c r="D173">
        <f t="shared" si="5"/>
        <v>-3.6363636363636177E-3</v>
      </c>
    </row>
    <row r="174" spans="1:4" x14ac:dyDescent="0.25">
      <c r="A174" s="1">
        <v>45711</v>
      </c>
      <c r="B174">
        <v>60.09</v>
      </c>
      <c r="C174">
        <f t="shared" si="4"/>
        <v>122.78299959133633</v>
      </c>
      <c r="D174">
        <f t="shared" si="5"/>
        <v>-3.1519575315195375E-3</v>
      </c>
    </row>
    <row r="175" spans="1:4" x14ac:dyDescent="0.25">
      <c r="A175" s="1">
        <v>45718</v>
      </c>
      <c r="B175">
        <v>60.22</v>
      </c>
      <c r="C175">
        <f t="shared" si="4"/>
        <v>123.04863097670618</v>
      </c>
      <c r="D175">
        <f t="shared" si="5"/>
        <v>2.1634215343650431E-3</v>
      </c>
    </row>
    <row r="176" spans="1:4" x14ac:dyDescent="0.25">
      <c r="A176" s="1">
        <v>45725</v>
      </c>
      <c r="B176">
        <v>59.56</v>
      </c>
      <c r="C176">
        <f t="shared" si="4"/>
        <v>121.70004086636699</v>
      </c>
      <c r="D176">
        <f t="shared" si="5"/>
        <v>-1.095981401527726E-2</v>
      </c>
    </row>
    <row r="177" spans="1:4" x14ac:dyDescent="0.25">
      <c r="A177" s="1">
        <v>45732</v>
      </c>
      <c r="B177">
        <v>59.57</v>
      </c>
      <c r="C177">
        <f t="shared" si="4"/>
        <v>121.72047404985697</v>
      </c>
      <c r="D177">
        <f t="shared" si="5"/>
        <v>1.6789791806578257E-4</v>
      </c>
    </row>
    <row r="178" spans="1:4" x14ac:dyDescent="0.25">
      <c r="A178" s="1">
        <v>45739</v>
      </c>
      <c r="B178">
        <v>58.74</v>
      </c>
      <c r="C178">
        <f t="shared" si="4"/>
        <v>120.024519820188</v>
      </c>
      <c r="D178">
        <f t="shared" si="5"/>
        <v>-1.3933187846231296E-2</v>
      </c>
    </row>
    <row r="179" spans="1:4" x14ac:dyDescent="0.25">
      <c r="A179" s="1">
        <v>45746</v>
      </c>
      <c r="B179">
        <v>54.03</v>
      </c>
      <c r="C179">
        <f t="shared" si="4"/>
        <v>110.40049039640377</v>
      </c>
      <c r="D179">
        <f t="shared" si="5"/>
        <v>-8.0183861082737493E-2</v>
      </c>
    </row>
    <row r="180" spans="1:4" x14ac:dyDescent="0.25">
      <c r="A180" s="1">
        <v>45753</v>
      </c>
      <c r="B180">
        <v>52.95</v>
      </c>
      <c r="C180">
        <f t="shared" si="4"/>
        <v>108.19370657948511</v>
      </c>
      <c r="D180">
        <f t="shared" si="5"/>
        <v>-1.9988895058300912E-2</v>
      </c>
    </row>
    <row r="181" spans="1:4" x14ac:dyDescent="0.25">
      <c r="A181" s="1">
        <v>45760</v>
      </c>
      <c r="B181">
        <v>54.22</v>
      </c>
      <c r="C181">
        <f t="shared" si="4"/>
        <v>110.78872088271352</v>
      </c>
      <c r="D181">
        <f t="shared" si="5"/>
        <v>2.3984891406987646E-2</v>
      </c>
    </row>
    <row r="182" spans="1:4" x14ac:dyDescent="0.25">
      <c r="A182" s="1">
        <v>45767</v>
      </c>
      <c r="B182">
        <v>56.42</v>
      </c>
      <c r="C182">
        <f t="shared" si="4"/>
        <v>115.28402125051085</v>
      </c>
      <c r="D182">
        <f t="shared" si="5"/>
        <v>4.0575433419402486E-2</v>
      </c>
    </row>
    <row r="183" spans="1:4" x14ac:dyDescent="0.25">
      <c r="A183" s="1">
        <v>45774</v>
      </c>
      <c r="B183">
        <v>58.28</v>
      </c>
      <c r="C183">
        <f t="shared" si="4"/>
        <v>119.08459337964857</v>
      </c>
      <c r="D183">
        <f t="shared" si="5"/>
        <v>3.2967032967032954E-2</v>
      </c>
    </row>
    <row r="184" spans="1:4" x14ac:dyDescent="0.25">
      <c r="A184" s="1">
        <v>45781</v>
      </c>
      <c r="B184">
        <v>58.48</v>
      </c>
      <c r="C184">
        <f t="shared" si="4"/>
        <v>119.4932570494483</v>
      </c>
      <c r="D184">
        <f t="shared" si="5"/>
        <v>3.4317089910774834E-3</v>
      </c>
    </row>
    <row r="185" spans="1:4" x14ac:dyDescent="0.25">
      <c r="A185" s="1">
        <v>45788</v>
      </c>
      <c r="B185">
        <v>59.72</v>
      </c>
      <c r="C185">
        <f t="shared" si="4"/>
        <v>122.02697180220679</v>
      </c>
      <c r="D185">
        <f t="shared" si="5"/>
        <v>2.120383036935708E-2</v>
      </c>
    </row>
    <row r="186" spans="1:4" x14ac:dyDescent="0.25">
      <c r="A186" s="1">
        <v>45795</v>
      </c>
      <c r="B186">
        <v>58.91</v>
      </c>
      <c r="C186">
        <f t="shared" si="4"/>
        <v>120.37188393951777</v>
      </c>
      <c r="D186">
        <f t="shared" si="5"/>
        <v>-1.3563295378432724E-2</v>
      </c>
    </row>
    <row r="187" spans="1:4" x14ac:dyDescent="0.25">
      <c r="A187" s="1">
        <v>45802</v>
      </c>
      <c r="B187">
        <v>59.18</v>
      </c>
      <c r="C187">
        <f t="shared" si="4"/>
        <v>120.92357989374744</v>
      </c>
      <c r="D187">
        <f t="shared" si="5"/>
        <v>4.5832626039722145E-3</v>
      </c>
    </row>
    <row r="188" spans="1:4" x14ac:dyDescent="0.25">
      <c r="A188" s="1">
        <v>45809</v>
      </c>
      <c r="B188">
        <v>59.56</v>
      </c>
      <c r="C188">
        <f t="shared" si="4"/>
        <v>121.70004086636699</v>
      </c>
      <c r="D188">
        <f t="shared" si="5"/>
        <v>6.4210882054748656E-3</v>
      </c>
    </row>
    <row r="189" spans="1:4" x14ac:dyDescent="0.25">
      <c r="A189" s="1">
        <v>45816</v>
      </c>
      <c r="B189">
        <v>58.65</v>
      </c>
      <c r="C189">
        <f t="shared" si="4"/>
        <v>119.8406211687781</v>
      </c>
      <c r="D189">
        <f t="shared" si="5"/>
        <v>-1.5278710543989316E-2</v>
      </c>
    </row>
    <row r="190" spans="1:4" x14ac:dyDescent="0.25">
      <c r="A190" s="1">
        <v>45823</v>
      </c>
      <c r="B190">
        <v>58.04</v>
      </c>
      <c r="C190">
        <f t="shared" si="4"/>
        <v>118.59419697588885</v>
      </c>
      <c r="D190">
        <f t="shared" si="5"/>
        <v>-1.0400682011935199E-2</v>
      </c>
    </row>
    <row r="191" spans="1:4" x14ac:dyDescent="0.25">
      <c r="A191" s="1">
        <v>45830</v>
      </c>
      <c r="B191">
        <v>58.74</v>
      </c>
      <c r="C191">
        <f t="shared" si="4"/>
        <v>120.024519820188</v>
      </c>
      <c r="D191">
        <f t="shared" si="5"/>
        <v>1.206064782908344E-2</v>
      </c>
    </row>
    <row r="192" spans="1:4" x14ac:dyDescent="0.25">
      <c r="A192" s="1">
        <v>45837</v>
      </c>
      <c r="B192">
        <v>58.88</v>
      </c>
      <c r="C192">
        <f t="shared" si="4"/>
        <v>120.31058438904782</v>
      </c>
      <c r="D192">
        <f t="shared" si="5"/>
        <v>2.3833844058563257E-3</v>
      </c>
    </row>
    <row r="193" spans="1:4" x14ac:dyDescent="0.25">
      <c r="A193" s="1">
        <v>45844</v>
      </c>
      <c r="B193">
        <v>59.8</v>
      </c>
      <c r="C193">
        <f t="shared" si="4"/>
        <v>122.19043727012668</v>
      </c>
      <c r="D193">
        <f t="shared" si="5"/>
        <v>1.5624999999999908E-2</v>
      </c>
    </row>
    <row r="194" spans="1:4" x14ac:dyDescent="0.25">
      <c r="A194" s="1">
        <v>45851</v>
      </c>
      <c r="B194">
        <v>59.7</v>
      </c>
      <c r="C194">
        <f t="shared" ref="C194:C214" si="6">100*(B194/$B$2)</f>
        <v>121.9861054352268</v>
      </c>
      <c r="D194">
        <f t="shared" si="5"/>
        <v>-1.6722408026754903E-3</v>
      </c>
    </row>
    <row r="195" spans="1:4" x14ac:dyDescent="0.25">
      <c r="A195" s="1">
        <v>45858</v>
      </c>
      <c r="B195">
        <v>59.77</v>
      </c>
      <c r="C195">
        <f t="shared" si="6"/>
        <v>122.12913771965674</v>
      </c>
      <c r="D195">
        <f t="shared" si="5"/>
        <v>1.1725293132328356E-3</v>
      </c>
    </row>
    <row r="196" spans="1:4" x14ac:dyDescent="0.25">
      <c r="A196" s="1">
        <v>45865</v>
      </c>
      <c r="B196">
        <v>57.59</v>
      </c>
      <c r="C196">
        <f t="shared" si="6"/>
        <v>117.67470371883941</v>
      </c>
      <c r="D196">
        <f t="shared" ref="D196:D214" si="7">(B196-B195)/B195</f>
        <v>-3.6473147063744348E-2</v>
      </c>
    </row>
    <row r="197" spans="1:4" x14ac:dyDescent="0.25">
      <c r="A197" s="1">
        <v>45872</v>
      </c>
      <c r="B197">
        <v>59.08</v>
      </c>
      <c r="C197">
        <f t="shared" si="6"/>
        <v>120.71924805884757</v>
      </c>
      <c r="D197">
        <f t="shared" si="7"/>
        <v>2.5872547317242485E-2</v>
      </c>
    </row>
    <row r="198" spans="1:4" x14ac:dyDescent="0.25">
      <c r="A198" s="1">
        <v>45879</v>
      </c>
      <c r="B198">
        <v>60.42</v>
      </c>
      <c r="C198">
        <f t="shared" si="6"/>
        <v>123.45729464650594</v>
      </c>
      <c r="D198">
        <f t="shared" si="7"/>
        <v>2.2681110358835535E-2</v>
      </c>
    </row>
    <row r="199" spans="1:4" x14ac:dyDescent="0.25">
      <c r="A199" s="1">
        <v>45886</v>
      </c>
      <c r="B199">
        <v>60.82</v>
      </c>
      <c r="C199">
        <f t="shared" si="6"/>
        <v>124.27462198610544</v>
      </c>
      <c r="D199">
        <f t="shared" si="7"/>
        <v>6.620324395895375E-3</v>
      </c>
    </row>
    <row r="200" spans="1:4" x14ac:dyDescent="0.25">
      <c r="A200" s="1">
        <v>45893</v>
      </c>
      <c r="B200">
        <v>58.93</v>
      </c>
      <c r="C200">
        <f t="shared" si="6"/>
        <v>120.41275030649776</v>
      </c>
      <c r="D200">
        <f t="shared" si="7"/>
        <v>-3.1075304176257819E-2</v>
      </c>
    </row>
    <row r="201" spans="1:4" x14ac:dyDescent="0.25">
      <c r="A201" s="1">
        <v>45900</v>
      </c>
      <c r="B201">
        <v>58.68</v>
      </c>
      <c r="C201">
        <f t="shared" si="6"/>
        <v>119.90192071924805</v>
      </c>
      <c r="D201">
        <f t="shared" si="7"/>
        <v>-4.2423213982691332E-3</v>
      </c>
    </row>
    <row r="202" spans="1:4" x14ac:dyDescent="0.25">
      <c r="A202" s="1">
        <v>45907</v>
      </c>
      <c r="B202">
        <v>59.72</v>
      </c>
      <c r="C202">
        <f t="shared" si="6"/>
        <v>122.02697180220679</v>
      </c>
      <c r="D202">
        <f t="shared" si="7"/>
        <v>1.7723244717109732E-2</v>
      </c>
    </row>
    <row r="203" spans="1:4" x14ac:dyDescent="0.25">
      <c r="A203" s="1">
        <v>45914</v>
      </c>
      <c r="B203">
        <v>59.85</v>
      </c>
      <c r="C203">
        <f t="shared" si="6"/>
        <v>122.29260318757665</v>
      </c>
      <c r="D203">
        <f t="shared" si="7"/>
        <v>2.1768251841929429E-3</v>
      </c>
    </row>
    <row r="204" spans="1:4" x14ac:dyDescent="0.25">
      <c r="A204" s="1">
        <v>45921</v>
      </c>
      <c r="B204">
        <v>60.06</v>
      </c>
      <c r="C204">
        <f t="shared" si="6"/>
        <v>122.72170004086638</v>
      </c>
      <c r="D204">
        <f t="shared" si="7"/>
        <v>3.5087719298245758E-3</v>
      </c>
    </row>
    <row r="205" spans="1:4" x14ac:dyDescent="0.25">
      <c r="A205" s="1">
        <v>45928</v>
      </c>
      <c r="B205">
        <v>61.59</v>
      </c>
      <c r="C205">
        <f t="shared" si="6"/>
        <v>125.84797711483451</v>
      </c>
      <c r="D205">
        <f t="shared" si="7"/>
        <v>2.5474525474525493E-2</v>
      </c>
    </row>
    <row r="206" spans="1:4" x14ac:dyDescent="0.25">
      <c r="A206" s="1">
        <v>45935</v>
      </c>
      <c r="B206">
        <v>60.32</v>
      </c>
      <c r="C206">
        <f t="shared" si="6"/>
        <v>123.25296281160605</v>
      </c>
      <c r="D206">
        <f t="shared" si="7"/>
        <v>-2.0620230556908637E-2</v>
      </c>
    </row>
    <row r="207" spans="1:4" x14ac:dyDescent="0.25">
      <c r="A207" s="1">
        <v>45942</v>
      </c>
      <c r="B207">
        <v>62.23</v>
      </c>
      <c r="C207">
        <f t="shared" si="6"/>
        <v>127.1557008581937</v>
      </c>
      <c r="D207">
        <f t="shared" si="7"/>
        <v>3.1664456233421692E-2</v>
      </c>
    </row>
    <row r="208" spans="1:4" x14ac:dyDescent="0.25">
      <c r="A208" s="1">
        <v>45949</v>
      </c>
      <c r="B208">
        <v>62.62</v>
      </c>
      <c r="C208">
        <f t="shared" si="6"/>
        <v>127.95259501430323</v>
      </c>
      <c r="D208">
        <f t="shared" si="7"/>
        <v>6.2670737586373228E-3</v>
      </c>
    </row>
    <row r="209" spans="1:4" x14ac:dyDescent="0.25">
      <c r="A209" s="1">
        <v>45956</v>
      </c>
      <c r="B209">
        <v>61.89</v>
      </c>
      <c r="C209">
        <f t="shared" si="6"/>
        <v>126.46097261953413</v>
      </c>
      <c r="D209">
        <f t="shared" si="7"/>
        <v>-1.165761737464064E-2</v>
      </c>
    </row>
    <row r="210" spans="1:4" x14ac:dyDescent="0.25">
      <c r="A210" s="1">
        <v>45963</v>
      </c>
      <c r="B210">
        <v>60.58</v>
      </c>
      <c r="C210">
        <f t="shared" si="6"/>
        <v>123.78422558234574</v>
      </c>
      <c r="D210">
        <f t="shared" si="7"/>
        <v>-2.1166585878170985E-2</v>
      </c>
    </row>
    <row r="211" spans="1:4" x14ac:dyDescent="0.25">
      <c r="A211" s="1">
        <v>45970</v>
      </c>
      <c r="B211">
        <v>62.26</v>
      </c>
      <c r="C211">
        <f t="shared" si="6"/>
        <v>127.21700040866367</v>
      </c>
      <c r="D211">
        <f t="shared" si="7"/>
        <v>2.7731924727632879E-2</v>
      </c>
    </row>
    <row r="212" spans="1:4" x14ac:dyDescent="0.25">
      <c r="A212" s="1">
        <v>45977</v>
      </c>
      <c r="B212">
        <v>60.93</v>
      </c>
      <c r="C212">
        <f t="shared" si="6"/>
        <v>124.4993870044953</v>
      </c>
      <c r="D212">
        <f t="shared" si="7"/>
        <v>-2.1362030195952432E-2</v>
      </c>
    </row>
    <row r="213" spans="1:4" x14ac:dyDescent="0.25">
      <c r="A213" s="1">
        <v>45984</v>
      </c>
      <c r="B213">
        <v>62.02</v>
      </c>
      <c r="C213">
        <f t="shared" si="6"/>
        <v>126.72660400490399</v>
      </c>
      <c r="D213">
        <f t="shared" si="7"/>
        <v>1.7889381257180426E-2</v>
      </c>
    </row>
    <row r="214" spans="1:4" x14ac:dyDescent="0.25">
      <c r="A214" s="1">
        <v>45991</v>
      </c>
      <c r="B214">
        <v>61.87</v>
      </c>
      <c r="C214">
        <f t="shared" si="6"/>
        <v>126.42010625255415</v>
      </c>
      <c r="D214">
        <f t="shared" si="7"/>
        <v>-2.4185746533377244E-3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E476-60F0-410D-B7B8-77E284505010}">
  <dimension ref="A1:D214"/>
  <sheetViews>
    <sheetView workbookViewId="0">
      <selection activeCell="D3" sqref="D3"/>
    </sheetView>
  </sheetViews>
  <sheetFormatPr baseColWidth="10" defaultRowHeight="15" x14ac:dyDescent="0.25"/>
  <sheetData>
    <row r="1" spans="1:4" x14ac:dyDescent="0.25">
      <c r="A1" t="s">
        <v>0</v>
      </c>
      <c r="B1" t="s">
        <v>216</v>
      </c>
      <c r="C1" t="s">
        <v>215</v>
      </c>
      <c r="D1" t="s">
        <v>1515</v>
      </c>
    </row>
    <row r="2" spans="1:4" x14ac:dyDescent="0.25">
      <c r="A2" s="1">
        <v>44507</v>
      </c>
      <c r="B2">
        <v>30.73</v>
      </c>
      <c r="C2">
        <f>100*(B2/$B$2)</f>
        <v>100</v>
      </c>
    </row>
    <row r="3" spans="1:4" x14ac:dyDescent="0.25">
      <c r="A3" s="1">
        <v>44514</v>
      </c>
      <c r="B3">
        <v>30.55</v>
      </c>
      <c r="C3">
        <f t="shared" ref="C3:C66" si="0">100*(B3/$B$2)</f>
        <v>99.414253172795313</v>
      </c>
      <c r="D3">
        <f>(B3-B2)/B2</f>
        <v>-5.8574682720468505E-3</v>
      </c>
    </row>
    <row r="4" spans="1:4" x14ac:dyDescent="0.25">
      <c r="A4" s="1">
        <v>44521</v>
      </c>
      <c r="B4">
        <v>28.48</v>
      </c>
      <c r="C4">
        <f t="shared" si="0"/>
        <v>92.678164659941416</v>
      </c>
      <c r="D4">
        <f t="shared" ref="D4:D67" si="1">(B4-B3)/B3</f>
        <v>-6.7757774140752874E-2</v>
      </c>
    </row>
    <row r="5" spans="1:4" x14ac:dyDescent="0.25">
      <c r="A5" s="1">
        <v>44528</v>
      </c>
      <c r="B5">
        <v>27.5</v>
      </c>
      <c r="C5">
        <f t="shared" si="0"/>
        <v>89.489098600715906</v>
      </c>
      <c r="D5">
        <f t="shared" si="1"/>
        <v>-3.4410112359550576E-2</v>
      </c>
    </row>
    <row r="6" spans="1:4" x14ac:dyDescent="0.25">
      <c r="A6" s="1">
        <v>44535</v>
      </c>
      <c r="B6">
        <v>27.11</v>
      </c>
      <c r="C6">
        <f t="shared" si="0"/>
        <v>88.219980475105757</v>
      </c>
      <c r="D6">
        <f t="shared" si="1"/>
        <v>-1.4181818181818202E-2</v>
      </c>
    </row>
    <row r="7" spans="1:4" x14ac:dyDescent="0.25">
      <c r="A7" s="1">
        <v>44542</v>
      </c>
      <c r="B7">
        <v>28.25</v>
      </c>
      <c r="C7">
        <f t="shared" si="0"/>
        <v>91.929710380735443</v>
      </c>
      <c r="D7">
        <f t="shared" si="1"/>
        <v>4.2050903725562548E-2</v>
      </c>
    </row>
    <row r="8" spans="1:4" x14ac:dyDescent="0.25">
      <c r="A8" s="1">
        <v>44549</v>
      </c>
      <c r="B8">
        <v>28.45</v>
      </c>
      <c r="C8">
        <f t="shared" si="0"/>
        <v>92.580540188740642</v>
      </c>
      <c r="D8">
        <f t="shared" si="1"/>
        <v>7.0796460176990898E-3</v>
      </c>
    </row>
    <row r="9" spans="1:4" x14ac:dyDescent="0.25">
      <c r="A9" s="1">
        <v>44556</v>
      </c>
      <c r="B9">
        <v>28.43</v>
      </c>
      <c r="C9">
        <f t="shared" si="0"/>
        <v>92.515457207940116</v>
      </c>
      <c r="D9">
        <f t="shared" si="1"/>
        <v>-7.0298769771527506E-4</v>
      </c>
    </row>
    <row r="10" spans="1:4" x14ac:dyDescent="0.25">
      <c r="A10" s="1">
        <v>44563</v>
      </c>
      <c r="B10">
        <v>27.38</v>
      </c>
      <c r="C10">
        <f t="shared" si="0"/>
        <v>89.098600715912781</v>
      </c>
      <c r="D10">
        <f t="shared" si="1"/>
        <v>-3.6932817446359505E-2</v>
      </c>
    </row>
    <row r="11" spans="1:4" x14ac:dyDescent="0.25">
      <c r="A11" s="1">
        <v>44570</v>
      </c>
      <c r="B11">
        <v>28.06</v>
      </c>
      <c r="C11">
        <f t="shared" si="0"/>
        <v>91.311422063130493</v>
      </c>
      <c r="D11">
        <f t="shared" si="1"/>
        <v>2.483564645726807E-2</v>
      </c>
    </row>
    <row r="12" spans="1:4" x14ac:dyDescent="0.25">
      <c r="A12" s="1">
        <v>44577</v>
      </c>
      <c r="B12">
        <v>29.39</v>
      </c>
      <c r="C12">
        <f t="shared" si="0"/>
        <v>95.639440286365115</v>
      </c>
      <c r="D12">
        <f t="shared" si="1"/>
        <v>4.7398431931575266E-2</v>
      </c>
    </row>
    <row r="13" spans="1:4" x14ac:dyDescent="0.25">
      <c r="A13" s="1">
        <v>44584</v>
      </c>
      <c r="B13">
        <v>26.52</v>
      </c>
      <c r="C13">
        <f t="shared" si="0"/>
        <v>86.300032541490395</v>
      </c>
      <c r="D13">
        <f t="shared" si="1"/>
        <v>-9.765226267437907E-2</v>
      </c>
    </row>
    <row r="14" spans="1:4" x14ac:dyDescent="0.25">
      <c r="A14" s="1">
        <v>44591</v>
      </c>
      <c r="B14">
        <v>27.19</v>
      </c>
      <c r="C14">
        <f t="shared" si="0"/>
        <v>88.480312398307845</v>
      </c>
      <c r="D14">
        <f t="shared" si="1"/>
        <v>2.5263951734540036E-2</v>
      </c>
    </row>
    <row r="15" spans="1:4" x14ac:dyDescent="0.25">
      <c r="A15" s="1">
        <v>44598</v>
      </c>
      <c r="B15">
        <v>28.24</v>
      </c>
      <c r="C15">
        <f t="shared" si="0"/>
        <v>91.897168890335166</v>
      </c>
      <c r="D15">
        <f t="shared" si="1"/>
        <v>3.8617138653916777E-2</v>
      </c>
    </row>
    <row r="16" spans="1:4" x14ac:dyDescent="0.25">
      <c r="A16" s="1">
        <v>44605</v>
      </c>
      <c r="B16">
        <v>31.28</v>
      </c>
      <c r="C16">
        <f t="shared" si="0"/>
        <v>101.78978197201431</v>
      </c>
      <c r="D16">
        <f t="shared" si="1"/>
        <v>0.10764872521246469</v>
      </c>
    </row>
    <row r="17" spans="1:4" x14ac:dyDescent="0.25">
      <c r="A17" s="1">
        <v>44612</v>
      </c>
      <c r="B17">
        <v>30.42</v>
      </c>
      <c r="C17">
        <f t="shared" si="0"/>
        <v>98.991213797591939</v>
      </c>
      <c r="D17">
        <f t="shared" si="1"/>
        <v>-2.7493606138107397E-2</v>
      </c>
    </row>
    <row r="18" spans="1:4" x14ac:dyDescent="0.25">
      <c r="A18" s="1">
        <v>44619</v>
      </c>
      <c r="B18">
        <v>33.83</v>
      </c>
      <c r="C18">
        <f t="shared" si="0"/>
        <v>110.08786202408069</v>
      </c>
      <c r="D18">
        <f t="shared" si="1"/>
        <v>0.1120973044049966</v>
      </c>
    </row>
    <row r="19" spans="1:4" x14ac:dyDescent="0.25">
      <c r="A19" s="1">
        <v>44626</v>
      </c>
      <c r="B19">
        <v>35.119999999999997</v>
      </c>
      <c r="C19">
        <f t="shared" si="0"/>
        <v>114.28571428571428</v>
      </c>
      <c r="D19">
        <f t="shared" si="1"/>
        <v>3.8131835648832373E-2</v>
      </c>
    </row>
    <row r="20" spans="1:4" x14ac:dyDescent="0.25">
      <c r="A20" s="1">
        <v>44633</v>
      </c>
      <c r="B20">
        <v>33.68</v>
      </c>
      <c r="C20">
        <f t="shared" si="0"/>
        <v>109.59973966807679</v>
      </c>
      <c r="D20">
        <f t="shared" si="1"/>
        <v>-4.1002277904327956E-2</v>
      </c>
    </row>
    <row r="21" spans="1:4" x14ac:dyDescent="0.25">
      <c r="A21" s="1">
        <v>44640</v>
      </c>
      <c r="B21">
        <v>35.1</v>
      </c>
      <c r="C21">
        <f t="shared" si="0"/>
        <v>114.22063130491378</v>
      </c>
      <c r="D21">
        <f t="shared" si="1"/>
        <v>4.2161520190023803E-2</v>
      </c>
    </row>
    <row r="22" spans="1:4" x14ac:dyDescent="0.25">
      <c r="A22" s="1">
        <v>44647</v>
      </c>
      <c r="B22">
        <v>35.04</v>
      </c>
      <c r="C22">
        <f t="shared" si="0"/>
        <v>114.0253823625122</v>
      </c>
      <c r="D22">
        <f t="shared" si="1"/>
        <v>-1.709401709401774E-3</v>
      </c>
    </row>
    <row r="23" spans="1:4" x14ac:dyDescent="0.25">
      <c r="A23" s="1">
        <v>44654</v>
      </c>
      <c r="B23">
        <v>36.18</v>
      </c>
      <c r="C23">
        <f t="shared" si="0"/>
        <v>117.73511226814189</v>
      </c>
      <c r="D23">
        <f t="shared" si="1"/>
        <v>3.2534246575342485E-2</v>
      </c>
    </row>
    <row r="24" spans="1:4" x14ac:dyDescent="0.25">
      <c r="A24" s="1">
        <v>44661</v>
      </c>
      <c r="B24">
        <v>36.78</v>
      </c>
      <c r="C24">
        <f t="shared" si="0"/>
        <v>119.68760169215751</v>
      </c>
      <c r="D24">
        <f t="shared" si="1"/>
        <v>1.6583747927031548E-2</v>
      </c>
    </row>
    <row r="25" spans="1:4" x14ac:dyDescent="0.25">
      <c r="A25" s="1">
        <v>44668</v>
      </c>
      <c r="B25">
        <v>33.6</v>
      </c>
      <c r="C25">
        <f t="shared" si="0"/>
        <v>109.33940774487472</v>
      </c>
      <c r="D25">
        <f t="shared" si="1"/>
        <v>-8.6460032626427402E-2</v>
      </c>
    </row>
    <row r="26" spans="1:4" x14ac:dyDescent="0.25">
      <c r="A26" s="1">
        <v>44675</v>
      </c>
      <c r="B26">
        <v>33.28</v>
      </c>
      <c r="C26">
        <f t="shared" si="0"/>
        <v>108.29808005206638</v>
      </c>
      <c r="D26">
        <f t="shared" si="1"/>
        <v>-9.5238095238095316E-3</v>
      </c>
    </row>
    <row r="27" spans="1:4" x14ac:dyDescent="0.25">
      <c r="A27" s="1">
        <v>44682</v>
      </c>
      <c r="B27">
        <v>31.75</v>
      </c>
      <c r="C27">
        <f t="shared" si="0"/>
        <v>103.31923202082656</v>
      </c>
      <c r="D27">
        <f t="shared" si="1"/>
        <v>-4.5973557692307723E-2</v>
      </c>
    </row>
    <row r="28" spans="1:4" x14ac:dyDescent="0.25">
      <c r="A28" s="1">
        <v>44689</v>
      </c>
      <c r="B28">
        <v>29.09</v>
      </c>
      <c r="C28">
        <f t="shared" si="0"/>
        <v>94.663195574357303</v>
      </c>
      <c r="D28">
        <f t="shared" si="1"/>
        <v>-8.3779527559055128E-2</v>
      </c>
    </row>
    <row r="29" spans="1:4" x14ac:dyDescent="0.25">
      <c r="A29" s="1">
        <v>44696</v>
      </c>
      <c r="B29">
        <v>29.56</v>
      </c>
      <c r="C29">
        <f t="shared" si="0"/>
        <v>96.19264562316954</v>
      </c>
      <c r="D29">
        <f t="shared" si="1"/>
        <v>1.6156754898590541E-2</v>
      </c>
    </row>
    <row r="30" spans="1:4" x14ac:dyDescent="0.25">
      <c r="A30" s="1">
        <v>44703</v>
      </c>
      <c r="B30">
        <v>29.45</v>
      </c>
      <c r="C30">
        <f t="shared" si="0"/>
        <v>95.834689228766678</v>
      </c>
      <c r="D30">
        <f t="shared" si="1"/>
        <v>-3.7212449255750826E-3</v>
      </c>
    </row>
    <row r="31" spans="1:4" x14ac:dyDescent="0.25">
      <c r="A31" s="1">
        <v>44710</v>
      </c>
      <c r="B31">
        <v>29.28</v>
      </c>
      <c r="C31">
        <f t="shared" si="0"/>
        <v>95.281483891962253</v>
      </c>
      <c r="D31">
        <f t="shared" si="1"/>
        <v>-5.7724957555177646E-3</v>
      </c>
    </row>
    <row r="32" spans="1:4" x14ac:dyDescent="0.25">
      <c r="A32" s="1">
        <v>44717</v>
      </c>
      <c r="B32">
        <v>28.9</v>
      </c>
      <c r="C32">
        <f t="shared" si="0"/>
        <v>94.044907256752353</v>
      </c>
      <c r="D32">
        <f t="shared" si="1"/>
        <v>-1.297814207650282E-2</v>
      </c>
    </row>
    <row r="33" spans="1:4" x14ac:dyDescent="0.25">
      <c r="A33" s="1">
        <v>44724</v>
      </c>
      <c r="B33">
        <v>27.96</v>
      </c>
      <c r="C33">
        <f t="shared" si="0"/>
        <v>90.986007159127894</v>
      </c>
      <c r="D33">
        <f t="shared" si="1"/>
        <v>-3.2525951557093348E-2</v>
      </c>
    </row>
    <row r="34" spans="1:4" x14ac:dyDescent="0.25">
      <c r="A34" s="1">
        <v>44731</v>
      </c>
      <c r="B34">
        <v>26.66</v>
      </c>
      <c r="C34">
        <f t="shared" si="0"/>
        <v>86.755613407094046</v>
      </c>
      <c r="D34">
        <f t="shared" si="1"/>
        <v>-4.6494992846924203E-2</v>
      </c>
    </row>
    <row r="35" spans="1:4" x14ac:dyDescent="0.25">
      <c r="A35" s="1">
        <v>44738</v>
      </c>
      <c r="B35">
        <v>25.21</v>
      </c>
      <c r="C35">
        <f t="shared" si="0"/>
        <v>82.037097299056299</v>
      </c>
      <c r="D35">
        <f t="shared" si="1"/>
        <v>-5.4388597149287295E-2</v>
      </c>
    </row>
    <row r="36" spans="1:4" x14ac:dyDescent="0.25">
      <c r="A36" s="1">
        <v>44745</v>
      </c>
      <c r="B36">
        <v>25</v>
      </c>
      <c r="C36">
        <f t="shared" si="0"/>
        <v>81.353726000650823</v>
      </c>
      <c r="D36">
        <f t="shared" si="1"/>
        <v>-8.3300277667592553E-3</v>
      </c>
    </row>
    <row r="37" spans="1:4" x14ac:dyDescent="0.25">
      <c r="A37" s="1">
        <v>44752</v>
      </c>
      <c r="B37">
        <v>23.34</v>
      </c>
      <c r="C37">
        <f t="shared" si="0"/>
        <v>75.951838594207615</v>
      </c>
      <c r="D37">
        <f t="shared" si="1"/>
        <v>-6.6400000000000001E-2</v>
      </c>
    </row>
    <row r="38" spans="1:4" x14ac:dyDescent="0.25">
      <c r="A38" s="1">
        <v>44759</v>
      </c>
      <c r="B38">
        <v>23.66</v>
      </c>
      <c r="C38">
        <f t="shared" si="0"/>
        <v>76.993166287015953</v>
      </c>
      <c r="D38">
        <f t="shared" si="1"/>
        <v>1.3710368466152541E-2</v>
      </c>
    </row>
    <row r="39" spans="1:4" x14ac:dyDescent="0.25">
      <c r="A39" s="1">
        <v>44766</v>
      </c>
      <c r="B39">
        <v>23.97</v>
      </c>
      <c r="C39">
        <f t="shared" si="0"/>
        <v>78.001952489424013</v>
      </c>
      <c r="D39">
        <f t="shared" si="1"/>
        <v>1.310228233305151E-2</v>
      </c>
    </row>
    <row r="40" spans="1:4" x14ac:dyDescent="0.25">
      <c r="A40" s="1">
        <v>44773</v>
      </c>
      <c r="B40">
        <v>23.84</v>
      </c>
      <c r="C40">
        <f t="shared" si="0"/>
        <v>77.578913114220626</v>
      </c>
      <c r="D40">
        <f t="shared" si="1"/>
        <v>-5.423445974134293E-3</v>
      </c>
    </row>
    <row r="41" spans="1:4" x14ac:dyDescent="0.25">
      <c r="A41" s="1">
        <v>44780</v>
      </c>
      <c r="B41">
        <v>25.02</v>
      </c>
      <c r="C41">
        <f t="shared" si="0"/>
        <v>81.418808981451349</v>
      </c>
      <c r="D41">
        <f t="shared" si="1"/>
        <v>4.9496644295302004E-2</v>
      </c>
    </row>
    <row r="42" spans="1:4" x14ac:dyDescent="0.25">
      <c r="A42" s="1">
        <v>44787</v>
      </c>
      <c r="B42">
        <v>23.81</v>
      </c>
      <c r="C42">
        <f t="shared" si="0"/>
        <v>77.481288643019838</v>
      </c>
      <c r="D42">
        <f t="shared" si="1"/>
        <v>-4.8361310951239043E-2</v>
      </c>
    </row>
    <row r="43" spans="1:4" x14ac:dyDescent="0.25">
      <c r="A43" s="1">
        <v>44794</v>
      </c>
      <c r="B43">
        <v>23.48</v>
      </c>
      <c r="C43">
        <f t="shared" si="0"/>
        <v>76.407419459811251</v>
      </c>
      <c r="D43">
        <f t="shared" si="1"/>
        <v>-1.3859722805543819E-2</v>
      </c>
    </row>
    <row r="44" spans="1:4" x14ac:dyDescent="0.25">
      <c r="A44" s="1">
        <v>44801</v>
      </c>
      <c r="B44">
        <v>22.39</v>
      </c>
      <c r="C44">
        <f t="shared" si="0"/>
        <v>72.860397006182893</v>
      </c>
      <c r="D44">
        <f t="shared" si="1"/>
        <v>-4.6422487223168649E-2</v>
      </c>
    </row>
    <row r="45" spans="1:4" x14ac:dyDescent="0.25">
      <c r="A45" s="1">
        <v>44808</v>
      </c>
      <c r="B45">
        <v>23.33</v>
      </c>
      <c r="C45">
        <f t="shared" si="0"/>
        <v>75.919297103807352</v>
      </c>
      <c r="D45">
        <f t="shared" si="1"/>
        <v>4.1983028137561308E-2</v>
      </c>
    </row>
    <row r="46" spans="1:4" x14ac:dyDescent="0.25">
      <c r="A46" s="1">
        <v>44815</v>
      </c>
      <c r="B46">
        <v>22.25</v>
      </c>
      <c r="C46">
        <f t="shared" si="0"/>
        <v>72.404816140579243</v>
      </c>
      <c r="D46">
        <f t="shared" si="1"/>
        <v>-4.6292327475353549E-2</v>
      </c>
    </row>
    <row r="47" spans="1:4" x14ac:dyDescent="0.25">
      <c r="A47" s="1">
        <v>44822</v>
      </c>
      <c r="B47">
        <v>21.4</v>
      </c>
      <c r="C47">
        <f t="shared" si="0"/>
        <v>69.638789456557106</v>
      </c>
      <c r="D47">
        <f t="shared" si="1"/>
        <v>-3.8202247191011299E-2</v>
      </c>
    </row>
    <row r="48" spans="1:4" x14ac:dyDescent="0.25">
      <c r="A48" s="1">
        <v>44829</v>
      </c>
      <c r="B48">
        <v>23.47</v>
      </c>
      <c r="C48">
        <f t="shared" si="0"/>
        <v>76.374877969410988</v>
      </c>
      <c r="D48">
        <f t="shared" si="1"/>
        <v>9.6728971962616844E-2</v>
      </c>
    </row>
    <row r="49" spans="1:4" x14ac:dyDescent="0.25">
      <c r="A49" s="1">
        <v>44836</v>
      </c>
      <c r="B49">
        <v>24.15</v>
      </c>
      <c r="C49">
        <f t="shared" si="0"/>
        <v>78.587699316628701</v>
      </c>
      <c r="D49">
        <f t="shared" si="1"/>
        <v>2.8973157221985502E-2</v>
      </c>
    </row>
    <row r="50" spans="1:4" x14ac:dyDescent="0.25">
      <c r="A50" s="1">
        <v>44843</v>
      </c>
      <c r="B50">
        <v>21.92</v>
      </c>
      <c r="C50">
        <f t="shared" si="0"/>
        <v>71.330946957370656</v>
      </c>
      <c r="D50">
        <f t="shared" si="1"/>
        <v>-9.2339544513457439E-2</v>
      </c>
    </row>
    <row r="51" spans="1:4" x14ac:dyDescent="0.25">
      <c r="A51" s="1">
        <v>44850</v>
      </c>
      <c r="B51">
        <v>22.46</v>
      </c>
      <c r="C51">
        <f t="shared" si="0"/>
        <v>73.088187438984704</v>
      </c>
      <c r="D51">
        <f t="shared" si="1"/>
        <v>2.4635036496350324E-2</v>
      </c>
    </row>
    <row r="52" spans="1:4" x14ac:dyDescent="0.25">
      <c r="A52" s="1">
        <v>44857</v>
      </c>
      <c r="B52">
        <v>22.9</v>
      </c>
      <c r="C52">
        <f t="shared" si="0"/>
        <v>74.520013016596153</v>
      </c>
      <c r="D52">
        <f t="shared" si="1"/>
        <v>1.9590382902938457E-2</v>
      </c>
    </row>
    <row r="53" spans="1:4" x14ac:dyDescent="0.25">
      <c r="A53" s="1">
        <v>44864</v>
      </c>
      <c r="B53">
        <v>23.14</v>
      </c>
      <c r="C53">
        <f t="shared" si="0"/>
        <v>75.301008786202402</v>
      </c>
      <c r="D53">
        <f t="shared" si="1"/>
        <v>1.0480349344978254E-2</v>
      </c>
    </row>
    <row r="54" spans="1:4" x14ac:dyDescent="0.25">
      <c r="A54" s="1">
        <v>44871</v>
      </c>
      <c r="B54">
        <v>25.99</v>
      </c>
      <c r="C54">
        <f t="shared" si="0"/>
        <v>84.575333550276596</v>
      </c>
      <c r="D54">
        <f t="shared" si="1"/>
        <v>0.12316335350043206</v>
      </c>
    </row>
    <row r="55" spans="1:4" x14ac:dyDescent="0.25">
      <c r="A55" s="1">
        <v>44878</v>
      </c>
      <c r="B55">
        <v>24.86</v>
      </c>
      <c r="C55">
        <f t="shared" si="0"/>
        <v>80.898145135047187</v>
      </c>
      <c r="D55">
        <f t="shared" si="1"/>
        <v>-4.3478260869565181E-2</v>
      </c>
    </row>
    <row r="56" spans="1:4" x14ac:dyDescent="0.25">
      <c r="A56" s="1">
        <v>44885</v>
      </c>
      <c r="B56">
        <v>26.11</v>
      </c>
      <c r="C56">
        <f t="shared" si="0"/>
        <v>84.965831435079721</v>
      </c>
      <c r="D56">
        <f t="shared" si="1"/>
        <v>5.0281576830249398E-2</v>
      </c>
    </row>
    <row r="57" spans="1:4" x14ac:dyDescent="0.25">
      <c r="A57" s="1">
        <v>44892</v>
      </c>
      <c r="B57">
        <v>27.07</v>
      </c>
      <c r="C57">
        <f t="shared" si="0"/>
        <v>88.08981451350472</v>
      </c>
      <c r="D57">
        <f t="shared" si="1"/>
        <v>3.6767522022213742E-2</v>
      </c>
    </row>
    <row r="58" spans="1:4" x14ac:dyDescent="0.25">
      <c r="A58" s="1">
        <v>44899</v>
      </c>
      <c r="B58">
        <v>27.33</v>
      </c>
      <c r="C58">
        <f t="shared" si="0"/>
        <v>88.935893263911481</v>
      </c>
      <c r="D58">
        <f t="shared" si="1"/>
        <v>9.6047284817140002E-3</v>
      </c>
    </row>
    <row r="59" spans="1:4" x14ac:dyDescent="0.25">
      <c r="A59" s="1">
        <v>44906</v>
      </c>
      <c r="B59">
        <v>25.74</v>
      </c>
      <c r="C59">
        <f t="shared" si="0"/>
        <v>83.761796290270084</v>
      </c>
      <c r="D59">
        <f t="shared" si="1"/>
        <v>-5.8177826564215149E-2</v>
      </c>
    </row>
    <row r="60" spans="1:4" x14ac:dyDescent="0.25">
      <c r="A60" s="1">
        <v>44913</v>
      </c>
      <c r="B60">
        <v>26.84</v>
      </c>
      <c r="C60">
        <f t="shared" si="0"/>
        <v>87.341360234298719</v>
      </c>
      <c r="D60">
        <f t="shared" si="1"/>
        <v>4.2735042735042791E-2</v>
      </c>
    </row>
    <row r="61" spans="1:4" x14ac:dyDescent="0.25">
      <c r="A61" s="1">
        <v>44920</v>
      </c>
      <c r="B61">
        <v>26.42</v>
      </c>
      <c r="C61">
        <f t="shared" si="0"/>
        <v>85.97461763748781</v>
      </c>
      <c r="D61">
        <f t="shared" si="1"/>
        <v>-1.5648286140089351E-2</v>
      </c>
    </row>
    <row r="62" spans="1:4" x14ac:dyDescent="0.25">
      <c r="A62" s="1">
        <v>44927</v>
      </c>
      <c r="B62">
        <v>29.32</v>
      </c>
      <c r="C62">
        <f t="shared" si="0"/>
        <v>95.41164985356329</v>
      </c>
      <c r="D62">
        <f t="shared" si="1"/>
        <v>0.10976532929598783</v>
      </c>
    </row>
    <row r="63" spans="1:4" x14ac:dyDescent="0.25">
      <c r="A63" s="1">
        <v>44934</v>
      </c>
      <c r="B63">
        <v>29.74</v>
      </c>
      <c r="C63">
        <f t="shared" si="0"/>
        <v>96.778392450374213</v>
      </c>
      <c r="D63">
        <f t="shared" si="1"/>
        <v>1.4324693042291888E-2</v>
      </c>
    </row>
    <row r="64" spans="1:4" x14ac:dyDescent="0.25">
      <c r="A64" s="1">
        <v>44941</v>
      </c>
      <c r="B64">
        <v>29.19</v>
      </c>
      <c r="C64">
        <f t="shared" si="0"/>
        <v>94.988610478359917</v>
      </c>
      <c r="D64">
        <f t="shared" si="1"/>
        <v>-1.8493611297915172E-2</v>
      </c>
    </row>
    <row r="65" spans="1:4" x14ac:dyDescent="0.25">
      <c r="A65" s="1">
        <v>44948</v>
      </c>
      <c r="B65">
        <v>29.33</v>
      </c>
      <c r="C65">
        <f t="shared" si="0"/>
        <v>95.444191343963553</v>
      </c>
      <c r="D65">
        <f t="shared" si="1"/>
        <v>4.7961630695442618E-3</v>
      </c>
    </row>
    <row r="66" spans="1:4" x14ac:dyDescent="0.25">
      <c r="A66" s="1">
        <v>44955</v>
      </c>
      <c r="B66">
        <v>27.4</v>
      </c>
      <c r="C66">
        <f t="shared" si="0"/>
        <v>89.163683696713306</v>
      </c>
      <c r="D66">
        <f t="shared" si="1"/>
        <v>-6.5802932151380833E-2</v>
      </c>
    </row>
    <row r="67" spans="1:4" x14ac:dyDescent="0.25">
      <c r="A67" s="1">
        <v>44962</v>
      </c>
      <c r="B67">
        <v>27.42</v>
      </c>
      <c r="C67">
        <f t="shared" ref="C67:C130" si="2">100*(B67/$B$2)</f>
        <v>89.228766677513832</v>
      </c>
      <c r="D67">
        <f t="shared" si="1"/>
        <v>7.2992700729938419E-4</v>
      </c>
    </row>
    <row r="68" spans="1:4" x14ac:dyDescent="0.25">
      <c r="A68" s="1">
        <v>44969</v>
      </c>
      <c r="B68">
        <v>25.69</v>
      </c>
      <c r="C68">
        <f t="shared" si="2"/>
        <v>83.599088838268798</v>
      </c>
      <c r="D68">
        <f t="shared" ref="D68:D131" si="3">(B68-B67)/B67</f>
        <v>-6.3092633114514962E-2</v>
      </c>
    </row>
    <row r="69" spans="1:4" x14ac:dyDescent="0.25">
      <c r="A69" s="1">
        <v>44976</v>
      </c>
      <c r="B69">
        <v>24.58</v>
      </c>
      <c r="C69">
        <f t="shared" si="2"/>
        <v>79.986983403839886</v>
      </c>
      <c r="D69">
        <f t="shared" si="3"/>
        <v>-4.3207473725185012E-2</v>
      </c>
    </row>
    <row r="70" spans="1:4" x14ac:dyDescent="0.25">
      <c r="A70" s="1">
        <v>44983</v>
      </c>
      <c r="B70">
        <v>25.88</v>
      </c>
      <c r="C70">
        <f t="shared" si="2"/>
        <v>84.217377155873734</v>
      </c>
      <c r="D70">
        <f t="shared" si="3"/>
        <v>5.2888527257933311E-2</v>
      </c>
    </row>
    <row r="71" spans="1:4" x14ac:dyDescent="0.25">
      <c r="A71" s="1">
        <v>44990</v>
      </c>
      <c r="B71">
        <v>24.95</v>
      </c>
      <c r="C71">
        <f t="shared" si="2"/>
        <v>81.191018548649524</v>
      </c>
      <c r="D71">
        <f t="shared" si="3"/>
        <v>-3.5935085007727963E-2</v>
      </c>
    </row>
    <row r="72" spans="1:4" x14ac:dyDescent="0.25">
      <c r="A72" s="1">
        <v>44997</v>
      </c>
      <c r="B72">
        <v>27.51</v>
      </c>
      <c r="C72">
        <f t="shared" si="2"/>
        <v>89.521640091116168</v>
      </c>
      <c r="D72">
        <f t="shared" si="3"/>
        <v>0.10260521042084178</v>
      </c>
    </row>
    <row r="73" spans="1:4" x14ac:dyDescent="0.25">
      <c r="A73" s="1">
        <v>45004</v>
      </c>
      <c r="B73">
        <v>28.9</v>
      </c>
      <c r="C73">
        <f t="shared" si="2"/>
        <v>94.044907256752353</v>
      </c>
      <c r="D73">
        <f t="shared" si="3"/>
        <v>5.0527081061432097E-2</v>
      </c>
    </row>
    <row r="74" spans="1:4" x14ac:dyDescent="0.25">
      <c r="A74" s="1">
        <v>45011</v>
      </c>
      <c r="B74">
        <v>29.57</v>
      </c>
      <c r="C74">
        <f t="shared" si="2"/>
        <v>96.225187113569802</v>
      </c>
      <c r="D74">
        <f t="shared" si="3"/>
        <v>2.3183391003460268E-2</v>
      </c>
    </row>
    <row r="75" spans="1:4" x14ac:dyDescent="0.25">
      <c r="A75" s="1">
        <v>45018</v>
      </c>
      <c r="B75">
        <v>31.23</v>
      </c>
      <c r="C75">
        <f t="shared" si="2"/>
        <v>101.62707452001302</v>
      </c>
      <c r="D75">
        <f t="shared" si="3"/>
        <v>5.6137977680081171E-2</v>
      </c>
    </row>
    <row r="76" spans="1:4" x14ac:dyDescent="0.25">
      <c r="A76" s="1">
        <v>45025</v>
      </c>
      <c r="B76">
        <v>31.27</v>
      </c>
      <c r="C76">
        <f t="shared" si="2"/>
        <v>101.75724048161405</v>
      </c>
      <c r="D76">
        <f t="shared" si="3"/>
        <v>1.280819724623732E-3</v>
      </c>
    </row>
    <row r="77" spans="1:4" x14ac:dyDescent="0.25">
      <c r="A77" s="1">
        <v>45032</v>
      </c>
      <c r="B77">
        <v>30.5</v>
      </c>
      <c r="C77">
        <f t="shared" si="2"/>
        <v>99.251545720794013</v>
      </c>
      <c r="D77">
        <f t="shared" si="3"/>
        <v>-2.462424048608889E-2</v>
      </c>
    </row>
    <row r="78" spans="1:4" x14ac:dyDescent="0.25">
      <c r="A78" s="1">
        <v>45039</v>
      </c>
      <c r="B78">
        <v>30.6</v>
      </c>
      <c r="C78">
        <f t="shared" si="2"/>
        <v>99.576960624796612</v>
      </c>
      <c r="D78">
        <f t="shared" si="3"/>
        <v>3.2786885245902103E-3</v>
      </c>
    </row>
    <row r="79" spans="1:4" x14ac:dyDescent="0.25">
      <c r="A79" s="1">
        <v>45046</v>
      </c>
      <c r="B79">
        <v>32.119999999999997</v>
      </c>
      <c r="C79">
        <f t="shared" si="2"/>
        <v>104.52326716563618</v>
      </c>
      <c r="D79">
        <f t="shared" si="3"/>
        <v>4.967320261437895E-2</v>
      </c>
    </row>
    <row r="80" spans="1:4" x14ac:dyDescent="0.25">
      <c r="A80" s="1">
        <v>45053</v>
      </c>
      <c r="B80">
        <v>30.76</v>
      </c>
      <c r="C80">
        <f t="shared" si="2"/>
        <v>100.09762447120079</v>
      </c>
      <c r="D80">
        <f t="shared" si="3"/>
        <v>-4.2341220423412082E-2</v>
      </c>
    </row>
    <row r="81" spans="1:4" x14ac:dyDescent="0.25">
      <c r="A81" s="1">
        <v>45060</v>
      </c>
      <c r="B81">
        <v>29.95</v>
      </c>
      <c r="C81">
        <f t="shared" si="2"/>
        <v>97.461763748779688</v>
      </c>
      <c r="D81">
        <f t="shared" si="3"/>
        <v>-2.6332899869961061E-2</v>
      </c>
    </row>
    <row r="82" spans="1:4" x14ac:dyDescent="0.25">
      <c r="A82" s="1">
        <v>45067</v>
      </c>
      <c r="B82">
        <v>28.12</v>
      </c>
      <c r="C82">
        <f t="shared" si="2"/>
        <v>91.506671005532056</v>
      </c>
      <c r="D82">
        <f t="shared" si="3"/>
        <v>-6.1101836393989931E-2</v>
      </c>
    </row>
    <row r="83" spans="1:4" x14ac:dyDescent="0.25">
      <c r="A83" s="1">
        <v>45074</v>
      </c>
      <c r="B83">
        <v>29.59</v>
      </c>
      <c r="C83">
        <f t="shared" si="2"/>
        <v>96.290270094370328</v>
      </c>
      <c r="D83">
        <f t="shared" si="3"/>
        <v>5.2275960170696974E-2</v>
      </c>
    </row>
    <row r="84" spans="1:4" x14ac:dyDescent="0.25">
      <c r="A84" s="1">
        <v>45081</v>
      </c>
      <c r="B84">
        <v>29.23</v>
      </c>
      <c r="C84">
        <f t="shared" si="2"/>
        <v>95.118776439960953</v>
      </c>
      <c r="D84">
        <f t="shared" si="3"/>
        <v>-1.2166272389320698E-2</v>
      </c>
    </row>
    <row r="85" spans="1:4" x14ac:dyDescent="0.25">
      <c r="A85" s="1">
        <v>45088</v>
      </c>
      <c r="B85">
        <v>28.81</v>
      </c>
      <c r="C85">
        <f t="shared" si="2"/>
        <v>93.752033843150002</v>
      </c>
      <c r="D85">
        <f t="shared" si="3"/>
        <v>-1.436879917892582E-2</v>
      </c>
    </row>
    <row r="86" spans="1:4" x14ac:dyDescent="0.25">
      <c r="A86" s="1">
        <v>45095</v>
      </c>
      <c r="B86">
        <v>27.3</v>
      </c>
      <c r="C86">
        <f t="shared" si="2"/>
        <v>88.838268792710707</v>
      </c>
      <c r="D86">
        <f t="shared" si="3"/>
        <v>-5.2412356820548352E-2</v>
      </c>
    </row>
    <row r="87" spans="1:4" x14ac:dyDescent="0.25">
      <c r="A87" s="1">
        <v>45102</v>
      </c>
      <c r="B87">
        <v>27.19</v>
      </c>
      <c r="C87">
        <f t="shared" si="2"/>
        <v>88.480312398307845</v>
      </c>
      <c r="D87">
        <f t="shared" si="3"/>
        <v>-4.0293040293040081E-3</v>
      </c>
    </row>
    <row r="88" spans="1:4" x14ac:dyDescent="0.25">
      <c r="A88" s="1">
        <v>45109</v>
      </c>
      <c r="B88">
        <v>27.02</v>
      </c>
      <c r="C88">
        <f t="shared" si="2"/>
        <v>87.92710706150342</v>
      </c>
      <c r="D88">
        <f t="shared" si="3"/>
        <v>-6.2522986392056527E-3</v>
      </c>
    </row>
    <row r="89" spans="1:4" x14ac:dyDescent="0.25">
      <c r="A89" s="1">
        <v>45116</v>
      </c>
      <c r="B89">
        <v>28.98</v>
      </c>
      <c r="C89">
        <f t="shared" si="2"/>
        <v>94.305239179954441</v>
      </c>
      <c r="D89">
        <f t="shared" si="3"/>
        <v>7.2538860103626979E-2</v>
      </c>
    </row>
    <row r="90" spans="1:4" x14ac:dyDescent="0.25">
      <c r="A90" s="1">
        <v>45123</v>
      </c>
      <c r="B90">
        <v>28.5</v>
      </c>
      <c r="C90">
        <f t="shared" si="2"/>
        <v>92.743247640741941</v>
      </c>
      <c r="D90">
        <f t="shared" si="3"/>
        <v>-1.6563146997929622E-2</v>
      </c>
    </row>
    <row r="91" spans="1:4" x14ac:dyDescent="0.25">
      <c r="A91" s="1">
        <v>45130</v>
      </c>
      <c r="B91">
        <v>27.83</v>
      </c>
      <c r="C91">
        <f t="shared" si="2"/>
        <v>90.562967783924492</v>
      </c>
      <c r="D91">
        <f t="shared" si="3"/>
        <v>-2.3508771929824621E-2</v>
      </c>
    </row>
    <row r="92" spans="1:4" x14ac:dyDescent="0.25">
      <c r="A92" s="1">
        <v>45137</v>
      </c>
      <c r="B92">
        <v>26.47</v>
      </c>
      <c r="C92">
        <f t="shared" si="2"/>
        <v>86.137325089489096</v>
      </c>
      <c r="D92">
        <f t="shared" si="3"/>
        <v>-4.8868127919511305E-2</v>
      </c>
    </row>
    <row r="93" spans="1:4" x14ac:dyDescent="0.25">
      <c r="A93" s="1">
        <v>45144</v>
      </c>
      <c r="B93">
        <v>26.02</v>
      </c>
      <c r="C93">
        <f t="shared" si="2"/>
        <v>84.672958021477385</v>
      </c>
      <c r="D93">
        <f t="shared" si="3"/>
        <v>-1.7000377786172999E-2</v>
      </c>
    </row>
    <row r="94" spans="1:4" x14ac:dyDescent="0.25">
      <c r="A94" s="1">
        <v>45151</v>
      </c>
      <c r="B94">
        <v>24.5</v>
      </c>
      <c r="C94">
        <f t="shared" si="2"/>
        <v>79.726651480637813</v>
      </c>
      <c r="D94">
        <f t="shared" si="3"/>
        <v>-5.8416602613374315E-2</v>
      </c>
    </row>
    <row r="95" spans="1:4" x14ac:dyDescent="0.25">
      <c r="A95" s="1">
        <v>45158</v>
      </c>
      <c r="B95">
        <v>25.6</v>
      </c>
      <c r="C95">
        <f t="shared" si="2"/>
        <v>83.306215424666448</v>
      </c>
      <c r="D95">
        <f t="shared" si="3"/>
        <v>4.4897959183673529E-2</v>
      </c>
    </row>
    <row r="96" spans="1:4" x14ac:dyDescent="0.25">
      <c r="A96" s="1">
        <v>45165</v>
      </c>
      <c r="B96">
        <v>26.57</v>
      </c>
      <c r="C96">
        <f t="shared" si="2"/>
        <v>86.462739993491695</v>
      </c>
      <c r="D96">
        <f t="shared" si="3"/>
        <v>3.7890624999999956E-2</v>
      </c>
    </row>
    <row r="97" spans="1:4" x14ac:dyDescent="0.25">
      <c r="A97" s="1">
        <v>45172</v>
      </c>
      <c r="B97">
        <v>25.97</v>
      </c>
      <c r="C97">
        <f t="shared" si="2"/>
        <v>84.510250569476071</v>
      </c>
      <c r="D97">
        <f t="shared" si="3"/>
        <v>-2.2581859239744127E-2</v>
      </c>
    </row>
    <row r="98" spans="1:4" x14ac:dyDescent="0.25">
      <c r="A98" s="1">
        <v>45179</v>
      </c>
      <c r="B98">
        <v>27.1</v>
      </c>
      <c r="C98">
        <f t="shared" si="2"/>
        <v>88.187438984705508</v>
      </c>
      <c r="D98">
        <f t="shared" si="3"/>
        <v>4.3511744320369757E-2</v>
      </c>
    </row>
    <row r="99" spans="1:4" x14ac:dyDescent="0.25">
      <c r="A99" s="1">
        <v>45186</v>
      </c>
      <c r="B99">
        <v>26.68</v>
      </c>
      <c r="C99">
        <f t="shared" si="2"/>
        <v>86.820696387894557</v>
      </c>
      <c r="D99">
        <f t="shared" si="3"/>
        <v>-1.5498154981549878E-2</v>
      </c>
    </row>
    <row r="100" spans="1:4" x14ac:dyDescent="0.25">
      <c r="A100" s="1">
        <v>45193</v>
      </c>
      <c r="B100">
        <v>24.7</v>
      </c>
      <c r="C100">
        <f t="shared" si="2"/>
        <v>80.377481288643011</v>
      </c>
      <c r="D100">
        <f t="shared" si="3"/>
        <v>-7.42128935532234E-2</v>
      </c>
    </row>
    <row r="101" spans="1:4" x14ac:dyDescent="0.25">
      <c r="A101" s="1">
        <v>45200</v>
      </c>
      <c r="B101">
        <v>24.83</v>
      </c>
      <c r="C101">
        <f t="shared" si="2"/>
        <v>80.800520663846399</v>
      </c>
      <c r="D101">
        <f t="shared" si="3"/>
        <v>5.2631578947368021E-3</v>
      </c>
    </row>
    <row r="102" spans="1:4" x14ac:dyDescent="0.25">
      <c r="A102" s="1">
        <v>45207</v>
      </c>
      <c r="B102">
        <v>27.55</v>
      </c>
      <c r="C102">
        <f t="shared" si="2"/>
        <v>89.65180605271722</v>
      </c>
      <c r="D102">
        <f t="shared" si="3"/>
        <v>0.10954490535642379</v>
      </c>
    </row>
    <row r="103" spans="1:4" x14ac:dyDescent="0.25">
      <c r="A103" s="1">
        <v>45214</v>
      </c>
      <c r="B103">
        <v>28.28</v>
      </c>
      <c r="C103">
        <f t="shared" si="2"/>
        <v>92.027334851936232</v>
      </c>
      <c r="D103">
        <f t="shared" si="3"/>
        <v>2.6497277676951012E-2</v>
      </c>
    </row>
    <row r="104" spans="1:4" x14ac:dyDescent="0.25">
      <c r="A104" s="1">
        <v>45221</v>
      </c>
      <c r="B104">
        <v>26.91</v>
      </c>
      <c r="C104">
        <f t="shared" si="2"/>
        <v>87.569150667100544</v>
      </c>
      <c r="D104">
        <f t="shared" si="3"/>
        <v>-4.8444130127298479E-2</v>
      </c>
    </row>
    <row r="105" spans="1:4" x14ac:dyDescent="0.25">
      <c r="A105" s="1">
        <v>45228</v>
      </c>
      <c r="B105">
        <v>27.59</v>
      </c>
      <c r="C105">
        <f t="shared" si="2"/>
        <v>89.781972014318256</v>
      </c>
      <c r="D105">
        <f t="shared" si="3"/>
        <v>2.526941657376439E-2</v>
      </c>
    </row>
    <row r="106" spans="1:4" x14ac:dyDescent="0.25">
      <c r="A106" s="1">
        <v>45235</v>
      </c>
      <c r="B106">
        <v>25.45</v>
      </c>
      <c r="C106">
        <f t="shared" si="2"/>
        <v>82.818093068662549</v>
      </c>
      <c r="D106">
        <f t="shared" si="3"/>
        <v>-7.7564334903950732E-2</v>
      </c>
    </row>
    <row r="107" spans="1:4" x14ac:dyDescent="0.25">
      <c r="A107" s="1">
        <v>45242</v>
      </c>
      <c r="B107">
        <v>26.17</v>
      </c>
      <c r="C107">
        <f t="shared" si="2"/>
        <v>85.161080377481284</v>
      </c>
      <c r="D107">
        <f t="shared" si="3"/>
        <v>2.8290766208251571E-2</v>
      </c>
    </row>
    <row r="108" spans="1:4" x14ac:dyDescent="0.25">
      <c r="A108" s="1">
        <v>45249</v>
      </c>
      <c r="B108">
        <v>26.67</v>
      </c>
      <c r="C108">
        <f t="shared" si="2"/>
        <v>86.788154897494309</v>
      </c>
      <c r="D108">
        <f t="shared" si="3"/>
        <v>1.910584638899503E-2</v>
      </c>
    </row>
    <row r="109" spans="1:4" x14ac:dyDescent="0.25">
      <c r="A109" s="1">
        <v>45256</v>
      </c>
      <c r="B109">
        <v>29.44</v>
      </c>
      <c r="C109">
        <f t="shared" si="2"/>
        <v>95.802147738366415</v>
      </c>
      <c r="D109">
        <f t="shared" si="3"/>
        <v>0.103862017247844</v>
      </c>
    </row>
    <row r="110" spans="1:4" x14ac:dyDescent="0.25">
      <c r="A110" s="1">
        <v>45263</v>
      </c>
      <c r="B110">
        <v>28.7</v>
      </c>
      <c r="C110">
        <f t="shared" si="2"/>
        <v>93.394077448747154</v>
      </c>
      <c r="D110">
        <f t="shared" si="3"/>
        <v>-2.5135869565217458E-2</v>
      </c>
    </row>
    <row r="111" spans="1:4" x14ac:dyDescent="0.25">
      <c r="A111" s="1">
        <v>45270</v>
      </c>
      <c r="B111">
        <v>29.38</v>
      </c>
      <c r="C111">
        <f t="shared" si="2"/>
        <v>95.606898795964838</v>
      </c>
      <c r="D111">
        <f t="shared" si="3"/>
        <v>2.3693379790940758E-2</v>
      </c>
    </row>
    <row r="112" spans="1:4" x14ac:dyDescent="0.25">
      <c r="A112" s="1">
        <v>45277</v>
      </c>
      <c r="B112">
        <v>30.35</v>
      </c>
      <c r="C112">
        <f t="shared" si="2"/>
        <v>98.763423364790114</v>
      </c>
      <c r="D112">
        <f t="shared" si="3"/>
        <v>3.3015656909462301E-2</v>
      </c>
    </row>
    <row r="113" spans="1:4" x14ac:dyDescent="0.25">
      <c r="A113" s="1">
        <v>45284</v>
      </c>
      <c r="B113">
        <v>29.33</v>
      </c>
      <c r="C113">
        <f t="shared" si="2"/>
        <v>95.444191343963553</v>
      </c>
      <c r="D113">
        <f t="shared" si="3"/>
        <v>-3.3607907742998454E-2</v>
      </c>
    </row>
    <row r="114" spans="1:4" x14ac:dyDescent="0.25">
      <c r="A114" s="1">
        <v>45291</v>
      </c>
      <c r="B114">
        <v>28.11</v>
      </c>
      <c r="C114">
        <f t="shared" si="2"/>
        <v>91.474129515131779</v>
      </c>
      <c r="D114">
        <f t="shared" si="3"/>
        <v>-4.1595635867712207E-2</v>
      </c>
    </row>
    <row r="115" spans="1:4" x14ac:dyDescent="0.25">
      <c r="A115" s="1">
        <v>45298</v>
      </c>
      <c r="B115">
        <v>27.91</v>
      </c>
      <c r="C115">
        <f t="shared" si="2"/>
        <v>90.82329970712658</v>
      </c>
      <c r="D115">
        <f t="shared" si="3"/>
        <v>-7.1149057274990856E-3</v>
      </c>
    </row>
    <row r="116" spans="1:4" x14ac:dyDescent="0.25">
      <c r="A116" s="1">
        <v>45305</v>
      </c>
      <c r="B116">
        <v>25.73</v>
      </c>
      <c r="C116">
        <f t="shared" si="2"/>
        <v>83.729254799869835</v>
      </c>
      <c r="D116">
        <f t="shared" si="3"/>
        <v>-7.8108204944464341E-2</v>
      </c>
    </row>
    <row r="117" spans="1:4" x14ac:dyDescent="0.25">
      <c r="A117" s="1">
        <v>45312</v>
      </c>
      <c r="B117">
        <v>26.83</v>
      </c>
      <c r="C117">
        <f t="shared" si="2"/>
        <v>87.30881874389847</v>
      </c>
      <c r="D117">
        <f t="shared" si="3"/>
        <v>4.2751651768363694E-2</v>
      </c>
    </row>
    <row r="118" spans="1:4" x14ac:dyDescent="0.25">
      <c r="A118" s="1">
        <v>45319</v>
      </c>
      <c r="B118">
        <v>26.8</v>
      </c>
      <c r="C118">
        <f t="shared" si="2"/>
        <v>87.211194272697696</v>
      </c>
      <c r="D118">
        <f t="shared" si="3"/>
        <v>-1.1181513231456424E-3</v>
      </c>
    </row>
    <row r="119" spans="1:4" x14ac:dyDescent="0.25">
      <c r="A119" s="1">
        <v>45326</v>
      </c>
      <c r="B119">
        <v>25.89</v>
      </c>
      <c r="C119">
        <f t="shared" si="2"/>
        <v>84.249918646273997</v>
      </c>
      <c r="D119">
        <f t="shared" si="3"/>
        <v>-3.3955223880597019E-2</v>
      </c>
    </row>
    <row r="120" spans="1:4" x14ac:dyDescent="0.25">
      <c r="A120" s="1">
        <v>45333</v>
      </c>
      <c r="B120">
        <v>26.04</v>
      </c>
      <c r="C120">
        <f t="shared" si="2"/>
        <v>84.738041002277896</v>
      </c>
      <c r="D120">
        <f t="shared" si="3"/>
        <v>5.7937427578214976E-3</v>
      </c>
    </row>
    <row r="121" spans="1:4" x14ac:dyDescent="0.25">
      <c r="A121" s="1">
        <v>45340</v>
      </c>
      <c r="B121">
        <v>25.5</v>
      </c>
      <c r="C121">
        <f t="shared" si="2"/>
        <v>82.980800520663848</v>
      </c>
      <c r="D121">
        <f t="shared" si="3"/>
        <v>-2.0737327188940061E-2</v>
      </c>
    </row>
    <row r="122" spans="1:4" x14ac:dyDescent="0.25">
      <c r="A122" s="1">
        <v>45347</v>
      </c>
      <c r="B122">
        <v>26.15</v>
      </c>
      <c r="C122">
        <f t="shared" si="2"/>
        <v>85.095997396680772</v>
      </c>
      <c r="D122">
        <f t="shared" si="3"/>
        <v>2.5490196078431317E-2</v>
      </c>
    </row>
    <row r="123" spans="1:4" x14ac:dyDescent="0.25">
      <c r="A123" s="1">
        <v>45354</v>
      </c>
      <c r="B123">
        <v>28.89</v>
      </c>
      <c r="C123">
        <f t="shared" si="2"/>
        <v>94.012365766352104</v>
      </c>
      <c r="D123">
        <f t="shared" si="3"/>
        <v>0.10478011472275343</v>
      </c>
    </row>
    <row r="124" spans="1:4" x14ac:dyDescent="0.25">
      <c r="A124" s="1">
        <v>45361</v>
      </c>
      <c r="B124">
        <v>29.08</v>
      </c>
      <c r="C124">
        <f t="shared" si="2"/>
        <v>94.63065408395704</v>
      </c>
      <c r="D124">
        <f t="shared" si="3"/>
        <v>6.5766701280719183E-3</v>
      </c>
    </row>
    <row r="125" spans="1:4" x14ac:dyDescent="0.25">
      <c r="A125" s="1">
        <v>45368</v>
      </c>
      <c r="B125">
        <v>29.26</v>
      </c>
      <c r="C125">
        <f t="shared" si="2"/>
        <v>95.216400911161742</v>
      </c>
      <c r="D125">
        <f t="shared" si="3"/>
        <v>6.1898211829437165E-3</v>
      </c>
    </row>
    <row r="126" spans="1:4" x14ac:dyDescent="0.25">
      <c r="A126" s="1">
        <v>45375</v>
      </c>
      <c r="B126">
        <v>31.15</v>
      </c>
      <c r="C126">
        <f t="shared" si="2"/>
        <v>101.36674259681094</v>
      </c>
      <c r="D126">
        <f t="shared" si="3"/>
        <v>6.4593301435406592E-2</v>
      </c>
    </row>
    <row r="127" spans="1:4" x14ac:dyDescent="0.25">
      <c r="A127" s="1">
        <v>45382</v>
      </c>
      <c r="B127">
        <v>33.29</v>
      </c>
      <c r="C127">
        <f t="shared" si="2"/>
        <v>108.33062154246664</v>
      </c>
      <c r="D127">
        <f t="shared" si="3"/>
        <v>6.8699839486356357E-2</v>
      </c>
    </row>
    <row r="128" spans="1:4" x14ac:dyDescent="0.25">
      <c r="A128" s="1">
        <v>45389</v>
      </c>
      <c r="B128">
        <v>34.96</v>
      </c>
      <c r="C128">
        <f t="shared" si="2"/>
        <v>113.76505043931012</v>
      </c>
      <c r="D128">
        <f t="shared" si="3"/>
        <v>5.0165214779213027E-2</v>
      </c>
    </row>
    <row r="129" spans="1:4" x14ac:dyDescent="0.25">
      <c r="A129" s="1">
        <v>45396</v>
      </c>
      <c r="B129">
        <v>34.26</v>
      </c>
      <c r="C129">
        <f t="shared" si="2"/>
        <v>111.48714611129189</v>
      </c>
      <c r="D129">
        <f t="shared" si="3"/>
        <v>-2.0022883295194589E-2</v>
      </c>
    </row>
    <row r="130" spans="1:4" x14ac:dyDescent="0.25">
      <c r="A130" s="1">
        <v>45403</v>
      </c>
      <c r="B130">
        <v>34.82</v>
      </c>
      <c r="C130">
        <f t="shared" si="2"/>
        <v>113.30946957370647</v>
      </c>
      <c r="D130">
        <f t="shared" si="3"/>
        <v>1.6345592527729196E-2</v>
      </c>
    </row>
    <row r="131" spans="1:4" x14ac:dyDescent="0.25">
      <c r="A131" s="1">
        <v>45410</v>
      </c>
      <c r="B131">
        <v>33.22</v>
      </c>
      <c r="C131">
        <f t="shared" ref="C131:C194" si="4">100*(B131/$B$2)</f>
        <v>108.10283110966481</v>
      </c>
      <c r="D131">
        <f t="shared" si="3"/>
        <v>-4.5950603101665752E-2</v>
      </c>
    </row>
    <row r="132" spans="1:4" x14ac:dyDescent="0.25">
      <c r="A132" s="1">
        <v>45417</v>
      </c>
      <c r="B132">
        <v>35.47</v>
      </c>
      <c r="C132">
        <f t="shared" si="4"/>
        <v>115.4246664497234</v>
      </c>
      <c r="D132">
        <f t="shared" ref="D132:D195" si="5">(B132-B131)/B131</f>
        <v>6.7730282962071051E-2</v>
      </c>
    </row>
    <row r="133" spans="1:4" x14ac:dyDescent="0.25">
      <c r="A133" s="1">
        <v>45424</v>
      </c>
      <c r="B133">
        <v>36.15</v>
      </c>
      <c r="C133">
        <f t="shared" si="4"/>
        <v>117.6374877969411</v>
      </c>
      <c r="D133">
        <f t="shared" si="5"/>
        <v>1.9171130532844648E-2</v>
      </c>
    </row>
    <row r="134" spans="1:4" x14ac:dyDescent="0.25">
      <c r="A134" s="1">
        <v>45431</v>
      </c>
      <c r="B134">
        <v>34.85</v>
      </c>
      <c r="C134">
        <f t="shared" si="4"/>
        <v>113.40709404490725</v>
      </c>
      <c r="D134">
        <f t="shared" si="5"/>
        <v>-3.5961272475795218E-2</v>
      </c>
    </row>
    <row r="135" spans="1:4" x14ac:dyDescent="0.25">
      <c r="A135" s="1">
        <v>45438</v>
      </c>
      <c r="B135">
        <v>34.83</v>
      </c>
      <c r="C135">
        <f t="shared" si="4"/>
        <v>113.34201106410673</v>
      </c>
      <c r="D135">
        <f t="shared" si="5"/>
        <v>-5.7388809182218434E-4</v>
      </c>
    </row>
    <row r="136" spans="1:4" x14ac:dyDescent="0.25">
      <c r="A136" s="1">
        <v>45445</v>
      </c>
      <c r="B136">
        <v>33.590000000000003</v>
      </c>
      <c r="C136">
        <f t="shared" si="4"/>
        <v>109.30686625447446</v>
      </c>
      <c r="D136">
        <f t="shared" si="5"/>
        <v>-3.5601492965833904E-2</v>
      </c>
    </row>
    <row r="137" spans="1:4" x14ac:dyDescent="0.25">
      <c r="A137" s="1">
        <v>45452</v>
      </c>
      <c r="B137">
        <v>33.090000000000003</v>
      </c>
      <c r="C137">
        <f t="shared" si="4"/>
        <v>107.67979173446145</v>
      </c>
      <c r="D137">
        <f t="shared" si="5"/>
        <v>-1.4885382554331646E-2</v>
      </c>
    </row>
    <row r="138" spans="1:4" x14ac:dyDescent="0.25">
      <c r="A138" s="1">
        <v>45459</v>
      </c>
      <c r="B138">
        <v>34.31</v>
      </c>
      <c r="C138">
        <f t="shared" si="4"/>
        <v>111.64985356329321</v>
      </c>
      <c r="D138">
        <f t="shared" si="5"/>
        <v>3.6869144756724051E-2</v>
      </c>
    </row>
    <row r="139" spans="1:4" x14ac:dyDescent="0.25">
      <c r="A139" s="1">
        <v>45466</v>
      </c>
      <c r="B139">
        <v>34.770000000000003</v>
      </c>
      <c r="C139">
        <f t="shared" si="4"/>
        <v>113.14676212170518</v>
      </c>
      <c r="D139">
        <f t="shared" si="5"/>
        <v>1.3407169921305766E-2</v>
      </c>
    </row>
    <row r="140" spans="1:4" x14ac:dyDescent="0.25">
      <c r="A140" s="1">
        <v>45473</v>
      </c>
      <c r="B140">
        <v>36.78</v>
      </c>
      <c r="C140">
        <f t="shared" si="4"/>
        <v>119.68760169215751</v>
      </c>
      <c r="D140">
        <f t="shared" si="5"/>
        <v>5.7808455565142303E-2</v>
      </c>
    </row>
    <row r="141" spans="1:4" x14ac:dyDescent="0.25">
      <c r="A141" s="1">
        <v>45480</v>
      </c>
      <c r="B141">
        <v>38.21</v>
      </c>
      <c r="C141">
        <f t="shared" si="4"/>
        <v>124.34103481939474</v>
      </c>
      <c r="D141">
        <f t="shared" si="5"/>
        <v>3.8879825992387158E-2</v>
      </c>
    </row>
    <row r="142" spans="1:4" x14ac:dyDescent="0.25">
      <c r="A142" s="1">
        <v>45487</v>
      </c>
      <c r="B142">
        <v>37.450000000000003</v>
      </c>
      <c r="C142">
        <f t="shared" si="4"/>
        <v>121.86788154897495</v>
      </c>
      <c r="D142">
        <f t="shared" si="5"/>
        <v>-1.9890081130594033E-2</v>
      </c>
    </row>
    <row r="143" spans="1:4" x14ac:dyDescent="0.25">
      <c r="A143" s="1">
        <v>45494</v>
      </c>
      <c r="B143">
        <v>36.97</v>
      </c>
      <c r="C143">
        <f t="shared" si="4"/>
        <v>120.30589000976244</v>
      </c>
      <c r="D143">
        <f t="shared" si="5"/>
        <v>-1.2817089452603576E-2</v>
      </c>
    </row>
    <row r="144" spans="1:4" x14ac:dyDescent="0.25">
      <c r="A144" s="1">
        <v>45501</v>
      </c>
      <c r="B144">
        <v>36.630000000000003</v>
      </c>
      <c r="C144">
        <f t="shared" si="4"/>
        <v>119.1994793361536</v>
      </c>
      <c r="D144">
        <f t="shared" si="5"/>
        <v>-9.1966459291316291E-3</v>
      </c>
    </row>
    <row r="145" spans="1:4" x14ac:dyDescent="0.25">
      <c r="A145" s="1">
        <v>45508</v>
      </c>
      <c r="B145">
        <v>36.47</v>
      </c>
      <c r="C145">
        <f t="shared" si="4"/>
        <v>118.67881548974944</v>
      </c>
      <c r="D145">
        <f t="shared" si="5"/>
        <v>-4.3680043680044689E-3</v>
      </c>
    </row>
    <row r="146" spans="1:4" x14ac:dyDescent="0.25">
      <c r="A146" s="1">
        <v>45515</v>
      </c>
      <c r="B146">
        <v>39.03</v>
      </c>
      <c r="C146">
        <f t="shared" si="4"/>
        <v>127.00943703221608</v>
      </c>
      <c r="D146">
        <f t="shared" si="5"/>
        <v>7.0194680559363926E-2</v>
      </c>
    </row>
    <row r="147" spans="1:4" x14ac:dyDescent="0.25">
      <c r="A147" s="1">
        <v>45522</v>
      </c>
      <c r="B147">
        <v>39.56</v>
      </c>
      <c r="C147">
        <f t="shared" si="4"/>
        <v>128.73413602342987</v>
      </c>
      <c r="D147">
        <f t="shared" si="5"/>
        <v>1.3579297975915991E-2</v>
      </c>
    </row>
    <row r="148" spans="1:4" x14ac:dyDescent="0.25">
      <c r="A148" s="1">
        <v>45529</v>
      </c>
      <c r="B148">
        <v>39.04</v>
      </c>
      <c r="C148">
        <f t="shared" si="4"/>
        <v>127.04197852261633</v>
      </c>
      <c r="D148">
        <f t="shared" si="5"/>
        <v>-1.3144590495450028E-2</v>
      </c>
    </row>
    <row r="149" spans="1:4" x14ac:dyDescent="0.25">
      <c r="A149" s="1">
        <v>45536</v>
      </c>
      <c r="B149">
        <v>37.19</v>
      </c>
      <c r="C149">
        <f t="shared" si="4"/>
        <v>121.02180279856816</v>
      </c>
      <c r="D149">
        <f t="shared" si="5"/>
        <v>-4.7387295081967248E-2</v>
      </c>
    </row>
    <row r="150" spans="1:4" x14ac:dyDescent="0.25">
      <c r="A150" s="1">
        <v>45543</v>
      </c>
      <c r="B150">
        <v>40.119999999999997</v>
      </c>
      <c r="C150">
        <f t="shared" si="4"/>
        <v>130.55645948584444</v>
      </c>
      <c r="D150">
        <f t="shared" si="5"/>
        <v>7.8784619521376706E-2</v>
      </c>
    </row>
    <row r="151" spans="1:4" x14ac:dyDescent="0.25">
      <c r="A151" s="1">
        <v>45550</v>
      </c>
      <c r="B151">
        <v>40.18</v>
      </c>
      <c r="C151">
        <f t="shared" si="4"/>
        <v>130.75170842824602</v>
      </c>
      <c r="D151">
        <f t="shared" si="5"/>
        <v>1.4955134596211933E-3</v>
      </c>
    </row>
    <row r="152" spans="1:4" x14ac:dyDescent="0.25">
      <c r="A152" s="1">
        <v>45557</v>
      </c>
      <c r="B152">
        <v>40.53</v>
      </c>
      <c r="C152">
        <f t="shared" si="4"/>
        <v>131.89066059225513</v>
      </c>
      <c r="D152">
        <f t="shared" si="5"/>
        <v>8.710801393728259E-3</v>
      </c>
    </row>
    <row r="153" spans="1:4" x14ac:dyDescent="0.25">
      <c r="A153" s="1">
        <v>45564</v>
      </c>
      <c r="B153">
        <v>40.67</v>
      </c>
      <c r="C153">
        <f t="shared" si="4"/>
        <v>132.34624145785878</v>
      </c>
      <c r="D153">
        <f t="shared" si="5"/>
        <v>3.4542314335060586E-3</v>
      </c>
    </row>
    <row r="154" spans="1:4" x14ac:dyDescent="0.25">
      <c r="A154" s="1">
        <v>45571</v>
      </c>
      <c r="B154">
        <v>40.89</v>
      </c>
      <c r="C154">
        <f t="shared" si="4"/>
        <v>133.06215424666451</v>
      </c>
      <c r="D154">
        <f t="shared" si="5"/>
        <v>5.4093926727317148E-3</v>
      </c>
    </row>
    <row r="155" spans="1:4" x14ac:dyDescent="0.25">
      <c r="A155" s="1">
        <v>45578</v>
      </c>
      <c r="B155">
        <v>44.65</v>
      </c>
      <c r="C155">
        <f t="shared" si="4"/>
        <v>145.29775463716237</v>
      </c>
      <c r="D155">
        <f t="shared" si="5"/>
        <v>9.195402298850569E-2</v>
      </c>
    </row>
    <row r="156" spans="1:4" x14ac:dyDescent="0.25">
      <c r="A156" s="1">
        <v>45585</v>
      </c>
      <c r="B156">
        <v>43.78</v>
      </c>
      <c r="C156">
        <f t="shared" si="4"/>
        <v>142.46664497233974</v>
      </c>
      <c r="D156">
        <f t="shared" si="5"/>
        <v>-1.9484882418812934E-2</v>
      </c>
    </row>
    <row r="157" spans="1:4" x14ac:dyDescent="0.25">
      <c r="A157" s="1">
        <v>45592</v>
      </c>
      <c r="B157">
        <v>41.67</v>
      </c>
      <c r="C157">
        <f t="shared" si="4"/>
        <v>135.6003904978848</v>
      </c>
      <c r="D157">
        <f t="shared" si="5"/>
        <v>-4.8195523069894913E-2</v>
      </c>
    </row>
    <row r="158" spans="1:4" x14ac:dyDescent="0.25">
      <c r="A158" s="1">
        <v>45599</v>
      </c>
      <c r="B158">
        <v>41.19</v>
      </c>
      <c r="C158">
        <f t="shared" si="4"/>
        <v>134.0383989586723</v>
      </c>
      <c r="D158">
        <f t="shared" si="5"/>
        <v>-1.1519078473722197E-2</v>
      </c>
    </row>
    <row r="159" spans="1:4" x14ac:dyDescent="0.25">
      <c r="A159" s="1">
        <v>45606</v>
      </c>
      <c r="B159">
        <v>37.97</v>
      </c>
      <c r="C159">
        <f t="shared" si="4"/>
        <v>123.56003904978847</v>
      </c>
      <c r="D159">
        <f t="shared" si="5"/>
        <v>-7.8174314153920829E-2</v>
      </c>
    </row>
    <row r="160" spans="1:4" x14ac:dyDescent="0.25">
      <c r="A160" s="1">
        <v>45613</v>
      </c>
      <c r="B160">
        <v>41.62</v>
      </c>
      <c r="C160">
        <f t="shared" si="4"/>
        <v>135.43768304588349</v>
      </c>
      <c r="D160">
        <f t="shared" si="5"/>
        <v>9.6128522517777162E-2</v>
      </c>
    </row>
    <row r="161" spans="1:4" x14ac:dyDescent="0.25">
      <c r="A161" s="1">
        <v>45620</v>
      </c>
      <c r="B161">
        <v>40.28</v>
      </c>
      <c r="C161">
        <f t="shared" si="4"/>
        <v>131.07712333224862</v>
      </c>
      <c r="D161">
        <f t="shared" si="5"/>
        <v>-3.2196059586737061E-2</v>
      </c>
    </row>
    <row r="162" spans="1:4" x14ac:dyDescent="0.25">
      <c r="A162" s="1">
        <v>45627</v>
      </c>
      <c r="B162">
        <v>39.880000000000003</v>
      </c>
      <c r="C162">
        <f t="shared" si="4"/>
        <v>129.77546371623819</v>
      </c>
      <c r="D162">
        <f t="shared" si="5"/>
        <v>-9.9304865938430621E-3</v>
      </c>
    </row>
    <row r="163" spans="1:4" x14ac:dyDescent="0.25">
      <c r="A163" s="1">
        <v>45634</v>
      </c>
      <c r="B163">
        <v>39.94</v>
      </c>
      <c r="C163">
        <f t="shared" si="4"/>
        <v>129.97071265863974</v>
      </c>
      <c r="D163">
        <f t="shared" si="5"/>
        <v>1.5045135406217443E-3</v>
      </c>
    </row>
    <row r="164" spans="1:4" x14ac:dyDescent="0.25">
      <c r="A164" s="1">
        <v>45641</v>
      </c>
      <c r="B164">
        <v>38.03</v>
      </c>
      <c r="C164">
        <f t="shared" si="4"/>
        <v>123.75528799219005</v>
      </c>
      <c r="D164">
        <f t="shared" si="5"/>
        <v>-4.7821732598898263E-2</v>
      </c>
    </row>
    <row r="165" spans="1:4" x14ac:dyDescent="0.25">
      <c r="A165" s="1">
        <v>45648</v>
      </c>
      <c r="B165">
        <v>37.58</v>
      </c>
      <c r="C165">
        <f t="shared" si="4"/>
        <v>122.29092092417832</v>
      </c>
      <c r="D165">
        <f t="shared" si="5"/>
        <v>-1.1832763607678223E-2</v>
      </c>
    </row>
    <row r="166" spans="1:4" x14ac:dyDescent="0.25">
      <c r="A166" s="1">
        <v>45655</v>
      </c>
      <c r="B166">
        <v>38.97</v>
      </c>
      <c r="C166">
        <f t="shared" si="4"/>
        <v>126.81418808981451</v>
      </c>
      <c r="D166">
        <f t="shared" si="5"/>
        <v>3.6987759446514119E-2</v>
      </c>
    </row>
    <row r="167" spans="1:4" x14ac:dyDescent="0.25">
      <c r="A167" s="1">
        <v>45662</v>
      </c>
      <c r="B167">
        <v>41.26</v>
      </c>
      <c r="C167">
        <f t="shared" si="4"/>
        <v>134.26618939147411</v>
      </c>
      <c r="D167">
        <f t="shared" si="5"/>
        <v>5.8763151141904009E-2</v>
      </c>
    </row>
    <row r="168" spans="1:4" x14ac:dyDescent="0.25">
      <c r="A168" s="1">
        <v>45669</v>
      </c>
      <c r="B168">
        <v>41.4</v>
      </c>
      <c r="C168">
        <f t="shared" si="4"/>
        <v>134.72177025707776</v>
      </c>
      <c r="D168">
        <f t="shared" si="5"/>
        <v>3.3931168201648226E-3</v>
      </c>
    </row>
    <row r="169" spans="1:4" x14ac:dyDescent="0.25">
      <c r="A169" s="1">
        <v>45676</v>
      </c>
      <c r="B169">
        <v>42.95</v>
      </c>
      <c r="C169">
        <f t="shared" si="4"/>
        <v>139.76570126911813</v>
      </c>
      <c r="D169">
        <f t="shared" si="5"/>
        <v>3.7439613526570152E-2</v>
      </c>
    </row>
    <row r="170" spans="1:4" x14ac:dyDescent="0.25">
      <c r="A170" s="1">
        <v>45683</v>
      </c>
      <c r="B170">
        <v>45.7</v>
      </c>
      <c r="C170">
        <f t="shared" si="4"/>
        <v>148.71461112918973</v>
      </c>
      <c r="D170">
        <f t="shared" si="5"/>
        <v>6.4027939464493588E-2</v>
      </c>
    </row>
    <row r="171" spans="1:4" x14ac:dyDescent="0.25">
      <c r="A171" s="1">
        <v>45690</v>
      </c>
      <c r="B171">
        <v>47.54</v>
      </c>
      <c r="C171">
        <f t="shared" si="4"/>
        <v>154.7022453628376</v>
      </c>
      <c r="D171">
        <f t="shared" si="5"/>
        <v>4.0262582056892697E-2</v>
      </c>
    </row>
    <row r="172" spans="1:4" x14ac:dyDescent="0.25">
      <c r="A172" s="1">
        <v>45697</v>
      </c>
      <c r="B172">
        <v>46.85</v>
      </c>
      <c r="C172">
        <f t="shared" si="4"/>
        <v>152.45688252521964</v>
      </c>
      <c r="D172">
        <f t="shared" si="5"/>
        <v>-1.4514093395035711E-2</v>
      </c>
    </row>
    <row r="173" spans="1:4" x14ac:dyDescent="0.25">
      <c r="A173" s="1">
        <v>45704</v>
      </c>
      <c r="B173">
        <v>46.8</v>
      </c>
      <c r="C173">
        <f t="shared" si="4"/>
        <v>152.29417507321836</v>
      </c>
      <c r="D173">
        <f t="shared" si="5"/>
        <v>-1.0672358591249575E-3</v>
      </c>
    </row>
    <row r="174" spans="1:4" x14ac:dyDescent="0.25">
      <c r="A174" s="1">
        <v>45711</v>
      </c>
      <c r="B174">
        <v>43.92</v>
      </c>
      <c r="C174">
        <f t="shared" si="4"/>
        <v>142.92222583794339</v>
      </c>
      <c r="D174">
        <f t="shared" si="5"/>
        <v>-6.1538461538461445E-2</v>
      </c>
    </row>
    <row r="175" spans="1:4" x14ac:dyDescent="0.25">
      <c r="A175" s="1">
        <v>45718</v>
      </c>
      <c r="B175">
        <v>44.82</v>
      </c>
      <c r="C175">
        <f t="shared" si="4"/>
        <v>145.85095997396681</v>
      </c>
      <c r="D175">
        <f t="shared" si="5"/>
        <v>2.0491803278688492E-2</v>
      </c>
    </row>
    <row r="176" spans="1:4" x14ac:dyDescent="0.25">
      <c r="A176" s="1">
        <v>45725</v>
      </c>
      <c r="B176">
        <v>47.4</v>
      </c>
      <c r="C176">
        <f t="shared" si="4"/>
        <v>154.24666449723395</v>
      </c>
      <c r="D176">
        <f t="shared" si="5"/>
        <v>5.7563587684069571E-2</v>
      </c>
    </row>
    <row r="177" spans="1:4" x14ac:dyDescent="0.25">
      <c r="A177" s="1">
        <v>45732</v>
      </c>
      <c r="B177">
        <v>48.78</v>
      </c>
      <c r="C177">
        <f t="shared" si="4"/>
        <v>158.7373901724699</v>
      </c>
      <c r="D177">
        <f t="shared" si="5"/>
        <v>2.9113924050632966E-2</v>
      </c>
    </row>
    <row r="178" spans="1:4" x14ac:dyDescent="0.25">
      <c r="A178" s="1">
        <v>45739</v>
      </c>
      <c r="B178">
        <v>50.84</v>
      </c>
      <c r="C178">
        <f t="shared" si="4"/>
        <v>165.44093719492355</v>
      </c>
      <c r="D178">
        <f t="shared" si="5"/>
        <v>4.2230422304223088E-2</v>
      </c>
    </row>
    <row r="179" spans="1:4" x14ac:dyDescent="0.25">
      <c r="A179" s="1">
        <v>45746</v>
      </c>
      <c r="B179">
        <v>45.97</v>
      </c>
      <c r="C179">
        <f t="shared" si="4"/>
        <v>149.59323136999674</v>
      </c>
      <c r="D179">
        <f t="shared" si="5"/>
        <v>-9.5790715971675933E-2</v>
      </c>
    </row>
    <row r="180" spans="1:4" x14ac:dyDescent="0.25">
      <c r="A180" s="1">
        <v>45753</v>
      </c>
      <c r="B180">
        <v>53.34</v>
      </c>
      <c r="C180">
        <f t="shared" si="4"/>
        <v>173.57630979498862</v>
      </c>
      <c r="D180">
        <f t="shared" si="5"/>
        <v>0.16032194909723743</v>
      </c>
    </row>
    <row r="181" spans="1:4" x14ac:dyDescent="0.25">
      <c r="A181" s="1">
        <v>45760</v>
      </c>
      <c r="B181">
        <v>55.22</v>
      </c>
      <c r="C181">
        <f t="shared" si="4"/>
        <v>179.69410999023754</v>
      </c>
      <c r="D181">
        <f t="shared" si="5"/>
        <v>3.5245594300712321E-2</v>
      </c>
    </row>
    <row r="182" spans="1:4" x14ac:dyDescent="0.25">
      <c r="A182" s="1">
        <v>45767</v>
      </c>
      <c r="B182">
        <v>51.95</v>
      </c>
      <c r="C182">
        <f t="shared" si="4"/>
        <v>169.05304262935243</v>
      </c>
      <c r="D182">
        <f t="shared" si="5"/>
        <v>-5.9217674755523288E-2</v>
      </c>
    </row>
    <row r="183" spans="1:4" x14ac:dyDescent="0.25">
      <c r="A183" s="1">
        <v>45774</v>
      </c>
      <c r="B183">
        <v>50.52</v>
      </c>
      <c r="C183">
        <f t="shared" si="4"/>
        <v>164.3996095021152</v>
      </c>
      <c r="D183">
        <f t="shared" si="5"/>
        <v>-2.7526467757459087E-2</v>
      </c>
    </row>
    <row r="184" spans="1:4" x14ac:dyDescent="0.25">
      <c r="A184" s="1">
        <v>45781</v>
      </c>
      <c r="B184">
        <v>54.52</v>
      </c>
      <c r="C184">
        <f t="shared" si="4"/>
        <v>177.41620566221934</v>
      </c>
      <c r="D184">
        <f t="shared" si="5"/>
        <v>7.9176563737133804E-2</v>
      </c>
    </row>
    <row r="185" spans="1:4" x14ac:dyDescent="0.25">
      <c r="A185" s="1">
        <v>45788</v>
      </c>
      <c r="B185">
        <v>49.9</v>
      </c>
      <c r="C185">
        <f t="shared" si="4"/>
        <v>162.38203709729905</v>
      </c>
      <c r="D185">
        <f t="shared" si="5"/>
        <v>-8.4739545121056567E-2</v>
      </c>
    </row>
    <row r="186" spans="1:4" x14ac:dyDescent="0.25">
      <c r="A186" s="1">
        <v>45795</v>
      </c>
      <c r="B186">
        <v>54.42</v>
      </c>
      <c r="C186">
        <f t="shared" si="4"/>
        <v>177.09079075821671</v>
      </c>
      <c r="D186">
        <f t="shared" si="5"/>
        <v>9.058116232464937E-2</v>
      </c>
    </row>
    <row r="187" spans="1:4" x14ac:dyDescent="0.25">
      <c r="A187" s="1">
        <v>45802</v>
      </c>
      <c r="B187">
        <v>53.67</v>
      </c>
      <c r="C187">
        <f t="shared" si="4"/>
        <v>174.6501789781972</v>
      </c>
      <c r="D187">
        <f t="shared" si="5"/>
        <v>-1.3781697905181918E-2</v>
      </c>
    </row>
    <row r="188" spans="1:4" x14ac:dyDescent="0.25">
      <c r="A188" s="1">
        <v>45809</v>
      </c>
      <c r="B188">
        <v>56.39</v>
      </c>
      <c r="C188">
        <f t="shared" si="4"/>
        <v>183.501464367068</v>
      </c>
      <c r="D188">
        <f t="shared" si="5"/>
        <v>5.0680081982485539E-2</v>
      </c>
    </row>
    <row r="189" spans="1:4" x14ac:dyDescent="0.25">
      <c r="A189" s="1">
        <v>45816</v>
      </c>
      <c r="B189">
        <v>57.7</v>
      </c>
      <c r="C189">
        <f t="shared" si="4"/>
        <v>187.76439960950214</v>
      </c>
      <c r="D189">
        <f t="shared" si="5"/>
        <v>2.3231069338535242E-2</v>
      </c>
    </row>
    <row r="190" spans="1:4" x14ac:dyDescent="0.25">
      <c r="A190" s="1">
        <v>45823</v>
      </c>
      <c r="B190">
        <v>56.21</v>
      </c>
      <c r="C190">
        <f t="shared" si="4"/>
        <v>182.91571753986332</v>
      </c>
      <c r="D190">
        <f t="shared" si="5"/>
        <v>-2.5823223570190675E-2</v>
      </c>
    </row>
    <row r="191" spans="1:4" x14ac:dyDescent="0.25">
      <c r="A191" s="1">
        <v>45830</v>
      </c>
      <c r="B191">
        <v>52.16</v>
      </c>
      <c r="C191">
        <f t="shared" si="4"/>
        <v>169.73641392775787</v>
      </c>
      <c r="D191">
        <f t="shared" si="5"/>
        <v>-7.2051236434798147E-2</v>
      </c>
    </row>
    <row r="192" spans="1:4" x14ac:dyDescent="0.25">
      <c r="A192" s="1">
        <v>45837</v>
      </c>
      <c r="B192">
        <v>54.5</v>
      </c>
      <c r="C192">
        <f t="shared" si="4"/>
        <v>177.35112268141881</v>
      </c>
      <c r="D192">
        <f t="shared" si="5"/>
        <v>4.4861963190184116E-2</v>
      </c>
    </row>
    <row r="193" spans="1:4" x14ac:dyDescent="0.25">
      <c r="A193" s="1">
        <v>45844</v>
      </c>
      <c r="B193">
        <v>54.66</v>
      </c>
      <c r="C193">
        <f t="shared" si="4"/>
        <v>177.87178652782296</v>
      </c>
      <c r="D193">
        <f t="shared" si="5"/>
        <v>2.935779816513699E-3</v>
      </c>
    </row>
    <row r="194" spans="1:4" x14ac:dyDescent="0.25">
      <c r="A194" s="1">
        <v>45851</v>
      </c>
      <c r="B194">
        <v>53.34</v>
      </c>
      <c r="C194">
        <f t="shared" si="4"/>
        <v>173.57630979498862</v>
      </c>
      <c r="D194">
        <f t="shared" si="5"/>
        <v>-2.4149286498353333E-2</v>
      </c>
    </row>
    <row r="195" spans="1:4" x14ac:dyDescent="0.25">
      <c r="A195" s="1">
        <v>45858</v>
      </c>
      <c r="B195">
        <v>55.23</v>
      </c>
      <c r="C195">
        <f t="shared" ref="C195:C214" si="6">100*(B195/$B$2)</f>
        <v>179.7266514806378</v>
      </c>
      <c r="D195">
        <f t="shared" si="5"/>
        <v>3.5433070866141607E-2</v>
      </c>
    </row>
    <row r="196" spans="1:4" x14ac:dyDescent="0.25">
      <c r="A196" s="1">
        <v>45865</v>
      </c>
      <c r="B196">
        <v>54.87</v>
      </c>
      <c r="C196">
        <f t="shared" si="6"/>
        <v>178.55515782622845</v>
      </c>
      <c r="D196">
        <f t="shared" ref="D196:D214" si="7">(B196-B195)/B195</f>
        <v>-6.5181966322650636E-3</v>
      </c>
    </row>
    <row r="197" spans="1:4" x14ac:dyDescent="0.25">
      <c r="A197" s="1">
        <v>45872</v>
      </c>
      <c r="B197">
        <v>61.65</v>
      </c>
      <c r="C197">
        <f t="shared" si="6"/>
        <v>200.61828831760496</v>
      </c>
      <c r="D197">
        <f t="shared" si="7"/>
        <v>0.12356478950246039</v>
      </c>
    </row>
    <row r="198" spans="1:4" x14ac:dyDescent="0.25">
      <c r="A198" s="1">
        <v>45879</v>
      </c>
      <c r="B198">
        <v>61.16</v>
      </c>
      <c r="C198">
        <f t="shared" si="6"/>
        <v>199.02375528799217</v>
      </c>
      <c r="D198">
        <f t="shared" si="7"/>
        <v>-7.9480940794809732E-3</v>
      </c>
    </row>
    <row r="199" spans="1:4" x14ac:dyDescent="0.25">
      <c r="A199" s="1">
        <v>45886</v>
      </c>
      <c r="B199">
        <v>63.23</v>
      </c>
      <c r="C199">
        <f t="shared" si="6"/>
        <v>205.75984380084606</v>
      </c>
      <c r="D199">
        <f t="shared" si="7"/>
        <v>3.3845650752125582E-2</v>
      </c>
    </row>
    <row r="200" spans="1:4" x14ac:dyDescent="0.25">
      <c r="A200" s="1">
        <v>45893</v>
      </c>
      <c r="B200">
        <v>65.56</v>
      </c>
      <c r="C200">
        <f t="shared" si="6"/>
        <v>213.34201106410674</v>
      </c>
      <c r="D200">
        <f t="shared" si="7"/>
        <v>3.6849596710422358E-2</v>
      </c>
    </row>
    <row r="201" spans="1:4" x14ac:dyDescent="0.25">
      <c r="A201" s="1">
        <v>45900</v>
      </c>
      <c r="B201">
        <v>68.92</v>
      </c>
      <c r="C201">
        <f t="shared" si="6"/>
        <v>224.27595183859421</v>
      </c>
      <c r="D201">
        <f t="shared" si="7"/>
        <v>5.1250762660158621E-2</v>
      </c>
    </row>
    <row r="202" spans="1:4" x14ac:dyDescent="0.25">
      <c r="A202" s="1">
        <v>45907</v>
      </c>
      <c r="B202">
        <v>73.5</v>
      </c>
      <c r="C202">
        <f t="shared" si="6"/>
        <v>239.17995444191345</v>
      </c>
      <c r="D202">
        <f t="shared" si="7"/>
        <v>6.6453859547301194E-2</v>
      </c>
    </row>
    <row r="203" spans="1:4" x14ac:dyDescent="0.25">
      <c r="A203" s="1">
        <v>45914</v>
      </c>
      <c r="B203">
        <v>74.52</v>
      </c>
      <c r="C203">
        <f t="shared" si="6"/>
        <v>242.49918646273997</v>
      </c>
      <c r="D203">
        <f t="shared" si="7"/>
        <v>1.3877551020408109E-2</v>
      </c>
    </row>
    <row r="204" spans="1:4" x14ac:dyDescent="0.25">
      <c r="A204" s="1">
        <v>45921</v>
      </c>
      <c r="B204">
        <v>78.099999999999994</v>
      </c>
      <c r="C204">
        <f t="shared" si="6"/>
        <v>254.14904002603316</v>
      </c>
      <c r="D204">
        <f t="shared" si="7"/>
        <v>4.8040794417605989E-2</v>
      </c>
    </row>
    <row r="205" spans="1:4" x14ac:dyDescent="0.25">
      <c r="A205" s="1">
        <v>45928</v>
      </c>
      <c r="B205">
        <v>81.41</v>
      </c>
      <c r="C205">
        <f t="shared" si="6"/>
        <v>264.92027334851934</v>
      </c>
      <c r="D205">
        <f t="shared" si="7"/>
        <v>4.238156209987199E-2</v>
      </c>
    </row>
    <row r="206" spans="1:4" x14ac:dyDescent="0.25">
      <c r="A206" s="1">
        <v>45935</v>
      </c>
      <c r="B206">
        <v>80.16</v>
      </c>
      <c r="C206">
        <f t="shared" si="6"/>
        <v>260.85258704848678</v>
      </c>
      <c r="D206">
        <f t="shared" si="7"/>
        <v>-1.5354379068910453E-2</v>
      </c>
    </row>
    <row r="207" spans="1:4" x14ac:dyDescent="0.25">
      <c r="A207" s="1">
        <v>45942</v>
      </c>
      <c r="B207">
        <v>84.19</v>
      </c>
      <c r="C207">
        <f t="shared" si="6"/>
        <v>273.96680767979171</v>
      </c>
      <c r="D207">
        <f t="shared" si="7"/>
        <v>5.0274451097804408E-2</v>
      </c>
    </row>
    <row r="208" spans="1:4" x14ac:dyDescent="0.25">
      <c r="A208" s="1">
        <v>45949</v>
      </c>
      <c r="B208">
        <v>79.069999999999993</v>
      </c>
      <c r="C208">
        <f t="shared" si="6"/>
        <v>257.30556459485842</v>
      </c>
      <c r="D208">
        <f t="shared" si="7"/>
        <v>-6.0814823613255783E-2</v>
      </c>
    </row>
    <row r="209" spans="1:4" x14ac:dyDescent="0.25">
      <c r="A209" s="1">
        <v>45956</v>
      </c>
      <c r="B209">
        <v>77.08</v>
      </c>
      <c r="C209">
        <f t="shared" si="6"/>
        <v>250.82980800520662</v>
      </c>
      <c r="D209">
        <f t="shared" si="7"/>
        <v>-2.5167573036549831E-2</v>
      </c>
    </row>
    <row r="210" spans="1:4" x14ac:dyDescent="0.25">
      <c r="A210" s="1">
        <v>45963</v>
      </c>
      <c r="B210">
        <v>77.040000000000006</v>
      </c>
      <c r="C210">
        <f t="shared" si="6"/>
        <v>250.69964204360562</v>
      </c>
      <c r="D210">
        <f t="shared" si="7"/>
        <v>-5.1894135962625898E-4</v>
      </c>
    </row>
    <row r="211" spans="1:4" x14ac:dyDescent="0.25">
      <c r="A211" s="1">
        <v>45970</v>
      </c>
      <c r="B211">
        <v>82.65</v>
      </c>
      <c r="C211">
        <f t="shared" si="6"/>
        <v>268.95541815815164</v>
      </c>
      <c r="D211">
        <f t="shared" si="7"/>
        <v>7.2819314641744529E-2</v>
      </c>
    </row>
    <row r="212" spans="1:4" x14ac:dyDescent="0.25">
      <c r="A212" s="1">
        <v>45977</v>
      </c>
      <c r="B212">
        <v>79.77</v>
      </c>
      <c r="C212">
        <f t="shared" si="6"/>
        <v>259.58346892287665</v>
      </c>
      <c r="D212">
        <f t="shared" si="7"/>
        <v>-3.4845735027223344E-2</v>
      </c>
    </row>
    <row r="213" spans="1:4" x14ac:dyDescent="0.25">
      <c r="A213" s="1">
        <v>45984</v>
      </c>
      <c r="B213">
        <v>89.33</v>
      </c>
      <c r="C213">
        <f t="shared" si="6"/>
        <v>290.69313374552553</v>
      </c>
      <c r="D213">
        <f t="shared" si="7"/>
        <v>0.11984455309013417</v>
      </c>
    </row>
    <row r="214" spans="1:4" x14ac:dyDescent="0.25">
      <c r="A214" s="1">
        <v>45991</v>
      </c>
      <c r="B214">
        <v>87.76</v>
      </c>
      <c r="C214">
        <f t="shared" si="6"/>
        <v>285.58411975268467</v>
      </c>
      <c r="D214">
        <f t="shared" si="7"/>
        <v>-1.7575282659800663E-2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0211-5E17-4A0F-8223-3712AA43EA63}">
  <dimension ref="A1:D214"/>
  <sheetViews>
    <sheetView workbookViewId="0">
      <selection activeCell="E4" sqref="E4"/>
    </sheetView>
  </sheetViews>
  <sheetFormatPr baseColWidth="10" defaultRowHeight="15" x14ac:dyDescent="0.25"/>
  <cols>
    <col min="3" max="3" width="18.85546875" customWidth="1"/>
  </cols>
  <sheetData>
    <row r="1" spans="1:4" x14ac:dyDescent="0.25">
      <c r="A1" t="s">
        <v>0</v>
      </c>
      <c r="B1" t="s">
        <v>210</v>
      </c>
      <c r="C1" t="s">
        <v>214</v>
      </c>
      <c r="D1" t="s">
        <v>215</v>
      </c>
    </row>
    <row r="2" spans="1:4" x14ac:dyDescent="0.25">
      <c r="A2" s="1">
        <v>44507</v>
      </c>
      <c r="B2">
        <f ca="1">100*(A2/$B$2)</f>
        <v>100</v>
      </c>
      <c r="C2">
        <f ca="1">100*(B2/$B$2)</f>
        <v>100</v>
      </c>
      <c r="D2">
        <f ca="1">100*(C2/$B$2)</f>
        <v>100</v>
      </c>
    </row>
    <row r="3" spans="1:4" x14ac:dyDescent="0.25">
      <c r="A3" s="1">
        <v>44514</v>
      </c>
      <c r="B3">
        <f t="shared" ref="B3:B66" ca="1" si="0">100*(A3/$B$2)</f>
        <v>101.29729729729731</v>
      </c>
      <c r="C3">
        <f t="shared" ref="C3:C66" ca="1" si="1">100*(B3/$B$2)</f>
        <v>100.18389865140989</v>
      </c>
      <c r="D3">
        <f t="shared" ref="D3:D66" ca="1" si="2">100*(C3/$B$2)</f>
        <v>99.414253172795313</v>
      </c>
    </row>
    <row r="4" spans="1:4" x14ac:dyDescent="0.25">
      <c r="A4" s="1">
        <v>44521</v>
      </c>
      <c r="B4">
        <f t="shared" ca="1" si="0"/>
        <v>98.186186186186177</v>
      </c>
      <c r="C4">
        <f t="shared" ca="1" si="1"/>
        <v>95.279934613812841</v>
      </c>
      <c r="D4">
        <f t="shared" ca="1" si="2"/>
        <v>92.678164659941416</v>
      </c>
    </row>
    <row r="5" spans="1:4" x14ac:dyDescent="0.25">
      <c r="A5" s="1">
        <v>44528</v>
      </c>
      <c r="B5">
        <f t="shared" ca="1" si="0"/>
        <v>97.021021021021014</v>
      </c>
      <c r="C5">
        <f t="shared" ca="1" si="1"/>
        <v>95.402533714752764</v>
      </c>
      <c r="D5">
        <f t="shared" ca="1" si="2"/>
        <v>89.489098600715906</v>
      </c>
    </row>
    <row r="6" spans="1:4" x14ac:dyDescent="0.25">
      <c r="A6" s="1">
        <v>44535</v>
      </c>
      <c r="B6">
        <f t="shared" ca="1" si="0"/>
        <v>99.807807807807819</v>
      </c>
      <c r="C6">
        <f t="shared" ca="1" si="1"/>
        <v>98.426644871270952</v>
      </c>
      <c r="D6">
        <f t="shared" ca="1" si="2"/>
        <v>88.219980475105757</v>
      </c>
    </row>
    <row r="7" spans="1:4" x14ac:dyDescent="0.25">
      <c r="A7" s="1">
        <v>44542</v>
      </c>
      <c r="B7">
        <f t="shared" ca="1" si="0"/>
        <v>99.35135135135134</v>
      </c>
      <c r="C7">
        <f t="shared" ca="1" si="1"/>
        <v>97.445852063751531</v>
      </c>
      <c r="D7">
        <f t="shared" ca="1" si="2"/>
        <v>91.929710380735443</v>
      </c>
    </row>
    <row r="8" spans="1:4" x14ac:dyDescent="0.25">
      <c r="A8" s="1">
        <v>44549</v>
      </c>
      <c r="B8">
        <f t="shared" ca="1" si="0"/>
        <v>100.90090090090089</v>
      </c>
      <c r="C8">
        <f t="shared" ca="1" si="1"/>
        <v>100.04086636697997</v>
      </c>
      <c r="D8">
        <f t="shared" ca="1" si="2"/>
        <v>92.580540188740642</v>
      </c>
    </row>
    <row r="9" spans="1:4" x14ac:dyDescent="0.25">
      <c r="A9" s="1">
        <v>44556</v>
      </c>
      <c r="B9">
        <f t="shared" ca="1" si="0"/>
        <v>101.95795795795794</v>
      </c>
      <c r="C9">
        <f t="shared" ca="1" si="1"/>
        <v>101.08295872496936</v>
      </c>
      <c r="D9">
        <f t="shared" ca="1" si="2"/>
        <v>92.515457207940116</v>
      </c>
    </row>
    <row r="10" spans="1:4" x14ac:dyDescent="0.25">
      <c r="A10" s="1">
        <v>44563</v>
      </c>
      <c r="B10">
        <f t="shared" ca="1" si="0"/>
        <v>99.711711711711715</v>
      </c>
      <c r="C10">
        <f t="shared" ca="1" si="1"/>
        <v>101.59378831221903</v>
      </c>
      <c r="D10">
        <f t="shared" ca="1" si="2"/>
        <v>89.098600715912781</v>
      </c>
    </row>
    <row r="11" spans="1:4" x14ac:dyDescent="0.25">
      <c r="A11" s="1">
        <v>44570</v>
      </c>
      <c r="B11">
        <f t="shared" ca="1" si="0"/>
        <v>98.414414414414424</v>
      </c>
      <c r="C11">
        <f t="shared" ca="1" si="1"/>
        <v>100.59256232120963</v>
      </c>
      <c r="D11">
        <f t="shared" ca="1" si="2"/>
        <v>91.311422063130493</v>
      </c>
    </row>
    <row r="12" spans="1:4" x14ac:dyDescent="0.25">
      <c r="A12" s="1">
        <v>44577</v>
      </c>
      <c r="B12">
        <f t="shared" ca="1" si="0"/>
        <v>96.204204204204217</v>
      </c>
      <c r="C12">
        <f t="shared" ca="1" si="1"/>
        <v>99.632202697180219</v>
      </c>
      <c r="D12">
        <f t="shared" ca="1" si="2"/>
        <v>95.639440286365115</v>
      </c>
    </row>
    <row r="13" spans="1:4" x14ac:dyDescent="0.25">
      <c r="A13" s="1">
        <v>44584</v>
      </c>
      <c r="B13">
        <f t="shared" ca="1" si="0"/>
        <v>94.642642642642656</v>
      </c>
      <c r="C13">
        <f t="shared" ca="1" si="1"/>
        <v>98.09971393543114</v>
      </c>
      <c r="D13">
        <f t="shared" ca="1" si="2"/>
        <v>86.300032541490395</v>
      </c>
    </row>
    <row r="14" spans="1:4" x14ac:dyDescent="0.25">
      <c r="A14" s="1">
        <v>44591</v>
      </c>
      <c r="B14">
        <f t="shared" ca="1" si="0"/>
        <v>94.810810810810821</v>
      </c>
      <c r="C14">
        <f t="shared" ca="1" si="1"/>
        <v>97.915815284021264</v>
      </c>
      <c r="D14">
        <f t="shared" ca="1" si="2"/>
        <v>88.480312398307845</v>
      </c>
    </row>
    <row r="15" spans="1:4" x14ac:dyDescent="0.25">
      <c r="A15" s="1">
        <v>44598</v>
      </c>
      <c r="B15">
        <f t="shared" ca="1" si="0"/>
        <v>95.831831831831835</v>
      </c>
      <c r="C15">
        <f t="shared" ca="1" si="1"/>
        <v>98.671843073150796</v>
      </c>
      <c r="D15">
        <f t="shared" ca="1" si="2"/>
        <v>91.897168890335166</v>
      </c>
    </row>
    <row r="16" spans="1:4" x14ac:dyDescent="0.25">
      <c r="A16" s="1">
        <v>44605</v>
      </c>
      <c r="B16">
        <f t="shared" ca="1" si="0"/>
        <v>93.849849849849846</v>
      </c>
      <c r="C16">
        <f t="shared" ca="1" si="1"/>
        <v>97.548017981201482</v>
      </c>
      <c r="D16">
        <f t="shared" ca="1" si="2"/>
        <v>101.78978197201431</v>
      </c>
    </row>
    <row r="17" spans="1:4" x14ac:dyDescent="0.25">
      <c r="A17" s="1">
        <v>44612</v>
      </c>
      <c r="B17">
        <f t="shared" ca="1" si="0"/>
        <v>94.126126126126124</v>
      </c>
      <c r="C17">
        <f t="shared" ca="1" si="1"/>
        <v>95.075602778912966</v>
      </c>
      <c r="D17">
        <f t="shared" ca="1" si="2"/>
        <v>98.991213797591939</v>
      </c>
    </row>
    <row r="18" spans="1:4" x14ac:dyDescent="0.25">
      <c r="A18" s="1">
        <v>44619</v>
      </c>
      <c r="B18">
        <f t="shared" ca="1" si="0"/>
        <v>93.933933933933929</v>
      </c>
      <c r="C18">
        <f t="shared" ca="1" si="1"/>
        <v>85.45157335512873</v>
      </c>
      <c r="D18">
        <f t="shared" ca="1" si="2"/>
        <v>110.08786202408069</v>
      </c>
    </row>
    <row r="19" spans="1:4" x14ac:dyDescent="0.25">
      <c r="A19" s="1">
        <v>44626</v>
      </c>
      <c r="B19">
        <f t="shared" ca="1" si="0"/>
        <v>93.261261261261268</v>
      </c>
      <c r="C19">
        <f t="shared" ca="1" si="1"/>
        <v>88.536984062116872</v>
      </c>
      <c r="D19">
        <f t="shared" ca="1" si="2"/>
        <v>114.28571428571428</v>
      </c>
    </row>
    <row r="20" spans="1:4" x14ac:dyDescent="0.25">
      <c r="A20" s="1">
        <v>44633</v>
      </c>
      <c r="B20">
        <f t="shared" ca="1" si="0"/>
        <v>96.76876876876878</v>
      </c>
      <c r="C20">
        <f t="shared" ca="1" si="1"/>
        <v>93.686146301593794</v>
      </c>
      <c r="D20">
        <f t="shared" ca="1" si="2"/>
        <v>109.59973966807679</v>
      </c>
    </row>
    <row r="21" spans="1:4" x14ac:dyDescent="0.25">
      <c r="A21" s="1">
        <v>44640</v>
      </c>
      <c r="B21">
        <f t="shared" ca="1" si="0"/>
        <v>98.702702702702709</v>
      </c>
      <c r="C21">
        <f t="shared" ca="1" si="1"/>
        <v>92.766653044544341</v>
      </c>
      <c r="D21">
        <f t="shared" ca="1" si="2"/>
        <v>114.22063130491378</v>
      </c>
    </row>
    <row r="22" spans="1:4" x14ac:dyDescent="0.25">
      <c r="A22" s="1">
        <v>44647</v>
      </c>
      <c r="B22">
        <f t="shared" ca="1" si="0"/>
        <v>98.666666666666671</v>
      </c>
      <c r="C22">
        <f t="shared" ca="1" si="1"/>
        <v>94.421740907233357</v>
      </c>
      <c r="D22">
        <f t="shared" ca="1" si="2"/>
        <v>114.0253823625122</v>
      </c>
    </row>
    <row r="23" spans="1:4" x14ac:dyDescent="0.25">
      <c r="A23" s="1">
        <v>44654</v>
      </c>
      <c r="B23">
        <f t="shared" ca="1" si="0"/>
        <v>99.35135135135134</v>
      </c>
      <c r="C23">
        <f t="shared" ca="1" si="1"/>
        <v>92.664487127094404</v>
      </c>
      <c r="D23">
        <f t="shared" ca="1" si="2"/>
        <v>117.73511226814189</v>
      </c>
    </row>
    <row r="24" spans="1:4" x14ac:dyDescent="0.25">
      <c r="A24" s="1">
        <v>44661</v>
      </c>
      <c r="B24">
        <f t="shared" ca="1" si="0"/>
        <v>98.606606606606604</v>
      </c>
      <c r="C24">
        <f t="shared" ca="1" si="1"/>
        <v>93.277482631794044</v>
      </c>
      <c r="D24">
        <f t="shared" ca="1" si="2"/>
        <v>119.68760169215751</v>
      </c>
    </row>
    <row r="25" spans="1:4" x14ac:dyDescent="0.25">
      <c r="A25" s="1">
        <v>44668</v>
      </c>
      <c r="B25">
        <f t="shared" ca="1" si="0"/>
        <v>96.50450450450451</v>
      </c>
      <c r="C25">
        <f t="shared" ca="1" si="1"/>
        <v>93.277482631794044</v>
      </c>
      <c r="D25">
        <f t="shared" ca="1" si="2"/>
        <v>109.33940774487472</v>
      </c>
    </row>
    <row r="26" spans="1:4" x14ac:dyDescent="0.25">
      <c r="A26" s="1">
        <v>44675</v>
      </c>
      <c r="B26">
        <f t="shared" ca="1" si="0"/>
        <v>96.516516516516518</v>
      </c>
      <c r="C26">
        <f t="shared" ca="1" si="1"/>
        <v>93.05271761340417</v>
      </c>
      <c r="D26">
        <f t="shared" ca="1" si="2"/>
        <v>108.29808005206638</v>
      </c>
    </row>
    <row r="27" spans="1:4" x14ac:dyDescent="0.25">
      <c r="A27" s="1">
        <v>44682</v>
      </c>
      <c r="B27">
        <f t="shared" ca="1" si="0"/>
        <v>93.369369369369366</v>
      </c>
      <c r="C27">
        <f t="shared" ca="1" si="1"/>
        <v>89.70167552104617</v>
      </c>
      <c r="D27">
        <f t="shared" ca="1" si="2"/>
        <v>103.31923202082656</v>
      </c>
    </row>
    <row r="28" spans="1:4" x14ac:dyDescent="0.25">
      <c r="A28" s="1">
        <v>44689</v>
      </c>
      <c r="B28">
        <f t="shared" ca="1" si="0"/>
        <v>92.972972972972983</v>
      </c>
      <c r="C28">
        <f t="shared" ca="1" si="1"/>
        <v>91.050265631385372</v>
      </c>
      <c r="D28">
        <f t="shared" ca="1" si="2"/>
        <v>94.663195574357303</v>
      </c>
    </row>
    <row r="29" spans="1:4" x14ac:dyDescent="0.25">
      <c r="A29" s="1">
        <v>44696</v>
      </c>
      <c r="B29">
        <f t="shared" ca="1" si="0"/>
        <v>89.705705705705725</v>
      </c>
      <c r="C29">
        <f t="shared" ca="1" si="1"/>
        <v>90.253371475275856</v>
      </c>
      <c r="D29">
        <f t="shared" ca="1" si="2"/>
        <v>96.19264562316954</v>
      </c>
    </row>
    <row r="30" spans="1:4" x14ac:dyDescent="0.25">
      <c r="A30" s="1">
        <v>44703</v>
      </c>
      <c r="B30">
        <f t="shared" ca="1" si="0"/>
        <v>93.501501501501508</v>
      </c>
      <c r="C30">
        <f t="shared" ca="1" si="1"/>
        <v>93.931344503473639</v>
      </c>
      <c r="D30">
        <f t="shared" ca="1" si="2"/>
        <v>95.834689228766678</v>
      </c>
    </row>
    <row r="31" spans="1:4" x14ac:dyDescent="0.25">
      <c r="A31" s="1">
        <v>44710</v>
      </c>
      <c r="B31">
        <f t="shared" ca="1" si="0"/>
        <v>92.996996996996998</v>
      </c>
      <c r="C31">
        <f t="shared" ca="1" si="1"/>
        <v>93.440948099713935</v>
      </c>
      <c r="D31">
        <f t="shared" ca="1" si="2"/>
        <v>95.281483891962253</v>
      </c>
    </row>
    <row r="32" spans="1:4" x14ac:dyDescent="0.25">
      <c r="A32" s="1">
        <v>44717</v>
      </c>
      <c r="B32">
        <f t="shared" ca="1" si="0"/>
        <v>89.981981981981974</v>
      </c>
      <c r="C32">
        <f t="shared" ca="1" si="1"/>
        <v>89.374744585206372</v>
      </c>
      <c r="D32">
        <f t="shared" ca="1" si="2"/>
        <v>94.044907256752353</v>
      </c>
    </row>
    <row r="33" spans="1:4" x14ac:dyDescent="0.25">
      <c r="A33" s="1">
        <v>44724</v>
      </c>
      <c r="B33">
        <f t="shared" ca="1" si="0"/>
        <v>85.201201201201201</v>
      </c>
      <c r="C33">
        <f t="shared" ca="1" si="1"/>
        <v>85.063342868818964</v>
      </c>
      <c r="D33">
        <f t="shared" ca="1" si="2"/>
        <v>90.986007159127894</v>
      </c>
    </row>
    <row r="34" spans="1:4" x14ac:dyDescent="0.25">
      <c r="A34" s="1">
        <v>44731</v>
      </c>
      <c r="B34">
        <f t="shared" ca="1" si="0"/>
        <v>88.756756756756758</v>
      </c>
      <c r="C34">
        <f t="shared" ca="1" si="1"/>
        <v>87.862689006947278</v>
      </c>
      <c r="D34">
        <f t="shared" ca="1" si="2"/>
        <v>86.755613407094046</v>
      </c>
    </row>
    <row r="35" spans="1:4" x14ac:dyDescent="0.25">
      <c r="A35" s="1">
        <v>44738</v>
      </c>
      <c r="B35">
        <f t="shared" ca="1" si="0"/>
        <v>87.843843843843842</v>
      </c>
      <c r="C35">
        <f t="shared" ca="1" si="1"/>
        <v>85.962402942378418</v>
      </c>
      <c r="D35">
        <f t="shared" ca="1" si="2"/>
        <v>82.037097299056299</v>
      </c>
    </row>
    <row r="36" spans="1:4" x14ac:dyDescent="0.25">
      <c r="A36" s="1">
        <v>44745</v>
      </c>
      <c r="B36">
        <f t="shared" ca="1" si="0"/>
        <v>92.168168168168179</v>
      </c>
      <c r="C36">
        <f t="shared" ca="1" si="1"/>
        <v>87.515324887617496</v>
      </c>
      <c r="D36">
        <f t="shared" ca="1" si="2"/>
        <v>81.353726000650823</v>
      </c>
    </row>
    <row r="37" spans="1:4" x14ac:dyDescent="0.25">
      <c r="A37" s="1">
        <v>44752</v>
      </c>
      <c r="B37">
        <f t="shared" ca="1" si="0"/>
        <v>91.3993993993994</v>
      </c>
      <c r="C37">
        <f t="shared" ca="1" si="1"/>
        <v>87.862689006947278</v>
      </c>
      <c r="D37">
        <f t="shared" ca="1" si="2"/>
        <v>75.951838594207615</v>
      </c>
    </row>
    <row r="38" spans="1:4" x14ac:dyDescent="0.25">
      <c r="A38" s="1">
        <v>44759</v>
      </c>
      <c r="B38">
        <f t="shared" ca="1" si="0"/>
        <v>93.273273273273276</v>
      </c>
      <c r="C38">
        <f t="shared" ca="1" si="1"/>
        <v>90.314671025745824</v>
      </c>
      <c r="D38">
        <f t="shared" ca="1" si="2"/>
        <v>76.993166287015953</v>
      </c>
    </row>
    <row r="39" spans="1:4" x14ac:dyDescent="0.25">
      <c r="A39" s="1">
        <v>44766</v>
      </c>
      <c r="B39">
        <f t="shared" ca="1" si="0"/>
        <v>96.204204204204217</v>
      </c>
      <c r="C39">
        <f t="shared" ca="1" si="1"/>
        <v>93.563547200653858</v>
      </c>
      <c r="D39">
        <f t="shared" ca="1" si="2"/>
        <v>78.001952489424013</v>
      </c>
    </row>
    <row r="40" spans="1:4" x14ac:dyDescent="0.25">
      <c r="A40" s="1">
        <v>44773</v>
      </c>
      <c r="B40">
        <f t="shared" ca="1" si="0"/>
        <v>96.852852852852848</v>
      </c>
      <c r="C40">
        <f t="shared" ca="1" si="1"/>
        <v>93.767879035553747</v>
      </c>
      <c r="D40">
        <f t="shared" ca="1" si="2"/>
        <v>77.578913114220626</v>
      </c>
    </row>
    <row r="41" spans="1:4" x14ac:dyDescent="0.25">
      <c r="A41" s="1">
        <v>44780</v>
      </c>
      <c r="B41">
        <f t="shared" ca="1" si="0"/>
        <v>98.882882882882868</v>
      </c>
      <c r="C41">
        <f t="shared" ca="1" si="1"/>
        <v>94.95300367797303</v>
      </c>
      <c r="D41">
        <f t="shared" ca="1" si="2"/>
        <v>81.418808981451349</v>
      </c>
    </row>
    <row r="42" spans="1:4" x14ac:dyDescent="0.25">
      <c r="A42" s="1">
        <v>44787</v>
      </c>
      <c r="B42">
        <f t="shared" ca="1" si="0"/>
        <v>99.85585585585585</v>
      </c>
      <c r="C42">
        <f t="shared" ca="1" si="1"/>
        <v>94.115243154883544</v>
      </c>
      <c r="D42">
        <f t="shared" ca="1" si="2"/>
        <v>77.481288643019838</v>
      </c>
    </row>
    <row r="43" spans="1:4" x14ac:dyDescent="0.25">
      <c r="A43" s="1">
        <v>44794</v>
      </c>
      <c r="B43">
        <f t="shared" ca="1" si="0"/>
        <v>97.897897897897906</v>
      </c>
      <c r="C43">
        <f t="shared" ca="1" si="1"/>
        <v>90.845933796485497</v>
      </c>
      <c r="D43">
        <f t="shared" ca="1" si="2"/>
        <v>76.407419459811251</v>
      </c>
    </row>
    <row r="44" spans="1:4" x14ac:dyDescent="0.25">
      <c r="A44" s="1">
        <v>44801</v>
      </c>
      <c r="B44">
        <f t="shared" ca="1" si="0"/>
        <v>95.147147147147138</v>
      </c>
      <c r="C44">
        <f t="shared" ca="1" si="1"/>
        <v>89.415610952186356</v>
      </c>
      <c r="D44">
        <f t="shared" ca="1" si="2"/>
        <v>72.860397006182893</v>
      </c>
    </row>
    <row r="45" spans="1:4" x14ac:dyDescent="0.25">
      <c r="A45" s="1">
        <v>44808</v>
      </c>
      <c r="B45">
        <f t="shared" ca="1" si="0"/>
        <v>96.156156156156143</v>
      </c>
      <c r="C45">
        <f t="shared" ca="1" si="1"/>
        <v>90.008173273395997</v>
      </c>
      <c r="D45">
        <f t="shared" ca="1" si="2"/>
        <v>75.919297103807352</v>
      </c>
    </row>
    <row r="46" spans="1:4" x14ac:dyDescent="0.25">
      <c r="A46" s="1">
        <v>44815</v>
      </c>
      <c r="B46">
        <f t="shared" ca="1" si="0"/>
        <v>92.048048048048045</v>
      </c>
      <c r="C46">
        <f t="shared" ca="1" si="1"/>
        <v>87.821822639967309</v>
      </c>
      <c r="D46">
        <f t="shared" ca="1" si="2"/>
        <v>72.404816140579243</v>
      </c>
    </row>
    <row r="47" spans="1:4" x14ac:dyDescent="0.25">
      <c r="A47" s="1">
        <v>44822</v>
      </c>
      <c r="B47">
        <f t="shared" ca="1" si="0"/>
        <v>90.246246246246244</v>
      </c>
      <c r="C47">
        <f t="shared" ca="1" si="1"/>
        <v>83.5104209235799</v>
      </c>
      <c r="D47">
        <f t="shared" ca="1" si="2"/>
        <v>69.638789456557106</v>
      </c>
    </row>
    <row r="48" spans="1:4" x14ac:dyDescent="0.25">
      <c r="A48" s="1">
        <v>44829</v>
      </c>
      <c r="B48">
        <f t="shared" ca="1" si="0"/>
        <v>89.033033033033036</v>
      </c>
      <c r="C48">
        <f t="shared" ca="1" si="1"/>
        <v>83.285655905190026</v>
      </c>
      <c r="D48">
        <f t="shared" ca="1" si="2"/>
        <v>76.374877969410988</v>
      </c>
    </row>
    <row r="49" spans="1:4" x14ac:dyDescent="0.25">
      <c r="A49" s="1">
        <v>44836</v>
      </c>
      <c r="B49">
        <f t="shared" ca="1" si="0"/>
        <v>89.645645645645644</v>
      </c>
      <c r="C49">
        <f t="shared" ca="1" si="1"/>
        <v>84.818144666939105</v>
      </c>
      <c r="D49">
        <f t="shared" ca="1" si="2"/>
        <v>78.587699316628701</v>
      </c>
    </row>
    <row r="50" spans="1:4" x14ac:dyDescent="0.25">
      <c r="A50" s="1">
        <v>44843</v>
      </c>
      <c r="B50">
        <f t="shared" ca="1" si="0"/>
        <v>88.612612612612608</v>
      </c>
      <c r="C50">
        <f t="shared" ca="1" si="1"/>
        <v>85.655905190028619</v>
      </c>
      <c r="D50">
        <f t="shared" ca="1" si="2"/>
        <v>71.330946957370656</v>
      </c>
    </row>
    <row r="51" spans="1:4" x14ac:dyDescent="0.25">
      <c r="A51" s="1">
        <v>44850</v>
      </c>
      <c r="B51">
        <f t="shared" ca="1" si="0"/>
        <v>89.813813813813809</v>
      </c>
      <c r="C51">
        <f t="shared" ca="1" si="1"/>
        <v>87.045361667347777</v>
      </c>
      <c r="D51">
        <f t="shared" ca="1" si="2"/>
        <v>73.088187438984704</v>
      </c>
    </row>
    <row r="52" spans="1:4" x14ac:dyDescent="0.25">
      <c r="A52" s="1">
        <v>44857</v>
      </c>
      <c r="B52">
        <f t="shared" ca="1" si="0"/>
        <v>92.348348348348338</v>
      </c>
      <c r="C52">
        <f t="shared" ca="1" si="1"/>
        <v>90.437270126685746</v>
      </c>
      <c r="D52">
        <f t="shared" ca="1" si="2"/>
        <v>74.520013016596153</v>
      </c>
    </row>
    <row r="53" spans="1:4" x14ac:dyDescent="0.25">
      <c r="A53" s="1">
        <v>44864</v>
      </c>
      <c r="B53">
        <f t="shared" ca="1" si="0"/>
        <v>90.77477477477477</v>
      </c>
      <c r="C53">
        <f t="shared" ca="1" si="1"/>
        <v>92.419288925214545</v>
      </c>
      <c r="D53">
        <f t="shared" ca="1" si="2"/>
        <v>75.301008786202402</v>
      </c>
    </row>
    <row r="54" spans="1:4" x14ac:dyDescent="0.25">
      <c r="A54" s="1">
        <v>44871</v>
      </c>
      <c r="B54">
        <f t="shared" ca="1" si="0"/>
        <v>92.912912912912901</v>
      </c>
      <c r="C54">
        <f t="shared" ca="1" si="1"/>
        <v>95.218635063342873</v>
      </c>
      <c r="D54">
        <f t="shared" ca="1" si="2"/>
        <v>84.575333550276596</v>
      </c>
    </row>
    <row r="55" spans="1:4" x14ac:dyDescent="0.25">
      <c r="A55" s="1">
        <v>44878</v>
      </c>
      <c r="B55">
        <f t="shared" ca="1" si="0"/>
        <v>92.768768768768766</v>
      </c>
      <c r="C55">
        <f t="shared" ca="1" si="1"/>
        <v>95.647731916632623</v>
      </c>
      <c r="D55">
        <f t="shared" ca="1" si="2"/>
        <v>80.898145135047187</v>
      </c>
    </row>
    <row r="56" spans="1:4" x14ac:dyDescent="0.25">
      <c r="A56" s="1">
        <v>44885</v>
      </c>
      <c r="B56">
        <f t="shared" ca="1" si="0"/>
        <v>94.090090090090087</v>
      </c>
      <c r="C56">
        <f t="shared" ca="1" si="1"/>
        <v>96.771557008581937</v>
      </c>
      <c r="D56">
        <f t="shared" ca="1" si="2"/>
        <v>84.965831435079721</v>
      </c>
    </row>
    <row r="57" spans="1:4" x14ac:dyDescent="0.25">
      <c r="A57" s="1">
        <v>44892</v>
      </c>
      <c r="B57">
        <f t="shared" ca="1" si="0"/>
        <v>93.897897897897892</v>
      </c>
      <c r="C57">
        <f t="shared" ca="1" si="1"/>
        <v>97.323252962811608</v>
      </c>
      <c r="D57">
        <f t="shared" ca="1" si="2"/>
        <v>88.08981451350472</v>
      </c>
    </row>
    <row r="58" spans="1:4" x14ac:dyDescent="0.25">
      <c r="A58" s="1">
        <v>44899</v>
      </c>
      <c r="B58">
        <f t="shared" ca="1" si="0"/>
        <v>92.012012012012008</v>
      </c>
      <c r="C58">
        <f t="shared" ca="1" si="1"/>
        <v>96.485492439722108</v>
      </c>
      <c r="D58">
        <f t="shared" ca="1" si="2"/>
        <v>88.935893263911481</v>
      </c>
    </row>
    <row r="59" spans="1:4" x14ac:dyDescent="0.25">
      <c r="A59" s="1">
        <v>44906</v>
      </c>
      <c r="B59">
        <f t="shared" ca="1" si="0"/>
        <v>88.816816816816811</v>
      </c>
      <c r="C59">
        <f t="shared" ca="1" si="1"/>
        <v>93.195749897834091</v>
      </c>
      <c r="D59">
        <f t="shared" ca="1" si="2"/>
        <v>83.761796290270084</v>
      </c>
    </row>
    <row r="60" spans="1:4" x14ac:dyDescent="0.25">
      <c r="A60" s="1">
        <v>44913</v>
      </c>
      <c r="B60">
        <f t="shared" ca="1" si="0"/>
        <v>88.564564564564577</v>
      </c>
      <c r="C60">
        <f t="shared" ca="1" si="1"/>
        <v>93.972210870453623</v>
      </c>
      <c r="D60">
        <f t="shared" ca="1" si="2"/>
        <v>87.341360234298719</v>
      </c>
    </row>
    <row r="61" spans="1:4" x14ac:dyDescent="0.25">
      <c r="A61" s="1">
        <v>44920</v>
      </c>
      <c r="B61">
        <f t="shared" ca="1" si="0"/>
        <v>88.096096096096105</v>
      </c>
      <c r="C61">
        <f t="shared" ca="1" si="1"/>
        <v>94.176542705353512</v>
      </c>
      <c r="D61">
        <f t="shared" ca="1" si="2"/>
        <v>85.97461763748781</v>
      </c>
    </row>
    <row r="62" spans="1:4" x14ac:dyDescent="0.25">
      <c r="A62" s="1">
        <v>44927</v>
      </c>
      <c r="B62">
        <f t="shared" ca="1" si="0"/>
        <v>90.138138138138146</v>
      </c>
      <c r="C62">
        <f t="shared" ca="1" si="1"/>
        <v>98.896608091540656</v>
      </c>
      <c r="D62">
        <f t="shared" ca="1" si="2"/>
        <v>95.41164985356329</v>
      </c>
    </row>
    <row r="63" spans="1:4" x14ac:dyDescent="0.25">
      <c r="A63" s="1">
        <v>44934</v>
      </c>
      <c r="B63">
        <f t="shared" ca="1" si="0"/>
        <v>91.063063063063069</v>
      </c>
      <c r="C63">
        <f t="shared" ca="1" si="1"/>
        <v>101.34859011033922</v>
      </c>
      <c r="D63">
        <f t="shared" ca="1" si="2"/>
        <v>96.778392450374213</v>
      </c>
    </row>
    <row r="64" spans="1:4" x14ac:dyDescent="0.25">
      <c r="A64" s="1">
        <v>44941</v>
      </c>
      <c r="B64">
        <f t="shared" ca="1" si="0"/>
        <v>90.522522522522522</v>
      </c>
      <c r="C64">
        <f t="shared" ca="1" si="1"/>
        <v>101.02165917449939</v>
      </c>
      <c r="D64">
        <f t="shared" ca="1" si="2"/>
        <v>94.988610478359917</v>
      </c>
    </row>
    <row r="65" spans="1:4" x14ac:dyDescent="0.25">
      <c r="A65" s="1">
        <v>44948</v>
      </c>
      <c r="B65">
        <f t="shared" ca="1" si="0"/>
        <v>92.900900900900908</v>
      </c>
      <c r="C65">
        <f t="shared" ca="1" si="1"/>
        <v>102.53371475275847</v>
      </c>
      <c r="D65">
        <f t="shared" ca="1" si="2"/>
        <v>95.444191343963553</v>
      </c>
    </row>
    <row r="66" spans="1:4" x14ac:dyDescent="0.25">
      <c r="A66" s="1">
        <v>44955</v>
      </c>
      <c r="B66">
        <f t="shared" ca="1" si="0"/>
        <v>95.087087087087085</v>
      </c>
      <c r="C66">
        <f t="shared" ca="1" si="1"/>
        <v>104.41356763383736</v>
      </c>
      <c r="D66">
        <f t="shared" ca="1" si="2"/>
        <v>89.163683696713306</v>
      </c>
    </row>
    <row r="67" spans="1:4" x14ac:dyDescent="0.25">
      <c r="A67" s="1">
        <v>44962</v>
      </c>
      <c r="B67">
        <f t="shared" ref="B67:B130" ca="1" si="3">100*(A67/$B$2)</f>
        <v>94.306306306306311</v>
      </c>
      <c r="C67">
        <f t="shared" ref="C67:C130" ca="1" si="4">100*(B67/$B$2)</f>
        <v>102.81977932161833</v>
      </c>
      <c r="D67">
        <f t="shared" ref="D67:D130" ca="1" si="5">100*(C67/$B$2)</f>
        <v>89.228766677513832</v>
      </c>
    </row>
    <row r="68" spans="1:4" x14ac:dyDescent="0.25">
      <c r="A68" s="1">
        <v>44969</v>
      </c>
      <c r="B68">
        <f t="shared" ca="1" si="3"/>
        <v>94.078078078078065</v>
      </c>
      <c r="C68">
        <f t="shared" ca="1" si="4"/>
        <v>105.88475684511647</v>
      </c>
      <c r="D68">
        <f t="shared" ca="1" si="5"/>
        <v>83.599088838268798</v>
      </c>
    </row>
    <row r="69" spans="1:4" x14ac:dyDescent="0.25">
      <c r="A69" s="1">
        <v>44976</v>
      </c>
      <c r="B69">
        <f t="shared" ca="1" si="3"/>
        <v>92.768768768768766</v>
      </c>
      <c r="C69">
        <f t="shared" ca="1" si="4"/>
        <v>103.55537392725786</v>
      </c>
      <c r="D69">
        <f t="shared" ca="1" si="5"/>
        <v>79.986983403839886</v>
      </c>
    </row>
    <row r="70" spans="1:4" x14ac:dyDescent="0.25">
      <c r="A70" s="1">
        <v>44983</v>
      </c>
      <c r="B70">
        <f t="shared" ca="1" si="3"/>
        <v>93.981981981981974</v>
      </c>
      <c r="C70">
        <f t="shared" ca="1" si="4"/>
        <v>105.63955864323663</v>
      </c>
      <c r="D70">
        <f t="shared" ca="1" si="5"/>
        <v>84.217377155873734</v>
      </c>
    </row>
    <row r="71" spans="1:4" x14ac:dyDescent="0.25">
      <c r="A71" s="1">
        <v>44990</v>
      </c>
      <c r="B71">
        <f t="shared" ca="1" si="3"/>
        <v>91.603603603603617</v>
      </c>
      <c r="C71">
        <f t="shared" ca="1" si="4"/>
        <v>103.98447078054762</v>
      </c>
      <c r="D71">
        <f t="shared" ca="1" si="5"/>
        <v>81.191018548649524</v>
      </c>
    </row>
    <row r="72" spans="1:4" x14ac:dyDescent="0.25">
      <c r="A72" s="1">
        <v>44997</v>
      </c>
      <c r="B72">
        <f t="shared" ca="1" si="3"/>
        <v>90.438438438438453</v>
      </c>
      <c r="C72">
        <f t="shared" ca="1" si="4"/>
        <v>99.877400899060092</v>
      </c>
      <c r="D72">
        <f t="shared" ca="1" si="5"/>
        <v>89.521640091116168</v>
      </c>
    </row>
    <row r="73" spans="1:4" x14ac:dyDescent="0.25">
      <c r="A73" s="1">
        <v>45004</v>
      </c>
      <c r="B73">
        <f t="shared" ca="1" si="3"/>
        <v>90.462462462462469</v>
      </c>
      <c r="C73">
        <f t="shared" ca="1" si="4"/>
        <v>101.1646914589293</v>
      </c>
      <c r="D73">
        <f t="shared" ca="1" si="5"/>
        <v>94.044907256752353</v>
      </c>
    </row>
    <row r="74" spans="1:4" x14ac:dyDescent="0.25">
      <c r="A74" s="1">
        <v>45011</v>
      </c>
      <c r="B74">
        <f t="shared" ca="1" si="3"/>
        <v>93.165165165165163</v>
      </c>
      <c r="C74">
        <f t="shared" ca="1" si="4"/>
        <v>105.47609317531672</v>
      </c>
      <c r="D74">
        <f t="shared" ca="1" si="5"/>
        <v>96.225187113569802</v>
      </c>
    </row>
    <row r="75" spans="1:4" x14ac:dyDescent="0.25">
      <c r="A75" s="1">
        <v>45018</v>
      </c>
      <c r="B75">
        <f t="shared" ca="1" si="3"/>
        <v>92.732732732732742</v>
      </c>
      <c r="C75">
        <f t="shared" ca="1" si="4"/>
        <v>105.63955864323663</v>
      </c>
      <c r="D75">
        <f t="shared" ca="1" si="5"/>
        <v>101.62707452001302</v>
      </c>
    </row>
    <row r="76" spans="1:4" x14ac:dyDescent="0.25">
      <c r="A76" s="1">
        <v>45025</v>
      </c>
      <c r="B76">
        <f t="shared" ca="1" si="3"/>
        <v>93.477477477477464</v>
      </c>
      <c r="C76">
        <f t="shared" ca="1" si="4"/>
        <v>108.19370657948511</v>
      </c>
      <c r="D76">
        <f t="shared" ca="1" si="5"/>
        <v>101.75724048161405</v>
      </c>
    </row>
    <row r="77" spans="1:4" x14ac:dyDescent="0.25">
      <c r="A77" s="1">
        <v>45032</v>
      </c>
      <c r="B77">
        <f t="shared" ca="1" si="3"/>
        <v>93.585585585585591</v>
      </c>
      <c r="C77">
        <f t="shared" ca="1" si="4"/>
        <v>109.1540662035145</v>
      </c>
      <c r="D77">
        <f t="shared" ca="1" si="5"/>
        <v>99.251545720794013</v>
      </c>
    </row>
    <row r="78" spans="1:4" x14ac:dyDescent="0.25">
      <c r="A78" s="1">
        <v>45039</v>
      </c>
      <c r="B78">
        <f t="shared" ca="1" si="3"/>
        <v>93.417417417417411</v>
      </c>
      <c r="C78">
        <f t="shared" ca="1" si="4"/>
        <v>108.76583571720472</v>
      </c>
      <c r="D78">
        <f t="shared" ca="1" si="5"/>
        <v>99.576960624796612</v>
      </c>
    </row>
    <row r="79" spans="1:4" x14ac:dyDescent="0.25">
      <c r="A79" s="1">
        <v>45046</v>
      </c>
      <c r="B79">
        <f t="shared" ca="1" si="3"/>
        <v>93.237237237237252</v>
      </c>
      <c r="C79">
        <f t="shared" ca="1" si="4"/>
        <v>108.05067429505517</v>
      </c>
      <c r="D79">
        <f t="shared" ca="1" si="5"/>
        <v>104.52326716563618</v>
      </c>
    </row>
    <row r="80" spans="1:4" x14ac:dyDescent="0.25">
      <c r="A80" s="1">
        <v>45053</v>
      </c>
      <c r="B80">
        <f t="shared" ca="1" si="3"/>
        <v>94.306306306306311</v>
      </c>
      <c r="C80">
        <f t="shared" ca="1" si="4"/>
        <v>108.13240702901513</v>
      </c>
      <c r="D80">
        <f t="shared" ca="1" si="5"/>
        <v>100.09762447120079</v>
      </c>
    </row>
    <row r="81" spans="1:4" x14ac:dyDescent="0.25">
      <c r="A81" s="1">
        <v>45060</v>
      </c>
      <c r="B81">
        <f t="shared" ca="1" si="3"/>
        <v>95.975975975975985</v>
      </c>
      <c r="C81">
        <f t="shared" ca="1" si="4"/>
        <v>109.31753167143441</v>
      </c>
      <c r="D81">
        <f t="shared" ca="1" si="5"/>
        <v>97.461763748779688</v>
      </c>
    </row>
    <row r="82" spans="1:4" x14ac:dyDescent="0.25">
      <c r="A82" s="1">
        <v>45067</v>
      </c>
      <c r="B82">
        <f t="shared" ca="1" si="3"/>
        <v>96.432432432432435</v>
      </c>
      <c r="C82">
        <f t="shared" ca="1" si="4"/>
        <v>107.21291377196567</v>
      </c>
      <c r="D82">
        <f t="shared" ca="1" si="5"/>
        <v>91.506671005532056</v>
      </c>
    </row>
    <row r="83" spans="1:4" x14ac:dyDescent="0.25">
      <c r="A83" s="1">
        <v>45074</v>
      </c>
      <c r="B83">
        <f t="shared" ca="1" si="3"/>
        <v>97.945945945945951</v>
      </c>
      <c r="C83">
        <f t="shared" ca="1" si="4"/>
        <v>107.0290151205558</v>
      </c>
      <c r="D83">
        <f t="shared" ca="1" si="5"/>
        <v>96.290270094370328</v>
      </c>
    </row>
    <row r="84" spans="1:4" x14ac:dyDescent="0.25">
      <c r="A84" s="1">
        <v>45081</v>
      </c>
      <c r="B84">
        <f t="shared" ca="1" si="3"/>
        <v>98.162162162162161</v>
      </c>
      <c r="C84">
        <f t="shared" ca="1" si="4"/>
        <v>106.25255414793627</v>
      </c>
      <c r="D84">
        <f t="shared" ca="1" si="5"/>
        <v>95.118776439960953</v>
      </c>
    </row>
    <row r="85" spans="1:4" x14ac:dyDescent="0.25">
      <c r="A85" s="1">
        <v>45088</v>
      </c>
      <c r="B85">
        <f t="shared" ca="1" si="3"/>
        <v>99.3993993993994</v>
      </c>
      <c r="C85">
        <f t="shared" ca="1" si="4"/>
        <v>108.78626890069474</v>
      </c>
      <c r="D85">
        <f t="shared" ca="1" si="5"/>
        <v>93.752033843150002</v>
      </c>
    </row>
    <row r="86" spans="1:4" x14ac:dyDescent="0.25">
      <c r="A86" s="1">
        <v>45095</v>
      </c>
      <c r="B86">
        <f t="shared" ca="1" si="3"/>
        <v>97.537537537537546</v>
      </c>
      <c r="C86">
        <f t="shared" ca="1" si="4"/>
        <v>105.4965263588067</v>
      </c>
      <c r="D86">
        <f t="shared" ca="1" si="5"/>
        <v>88.838268792710707</v>
      </c>
    </row>
    <row r="87" spans="1:4" x14ac:dyDescent="0.25">
      <c r="A87" s="1">
        <v>45102</v>
      </c>
      <c r="B87">
        <f t="shared" ca="1" si="3"/>
        <v>99.3993993993994</v>
      </c>
      <c r="C87">
        <f t="shared" ca="1" si="4"/>
        <v>108.80670208418472</v>
      </c>
      <c r="D87">
        <f t="shared" ca="1" si="5"/>
        <v>88.480312398307845</v>
      </c>
    </row>
    <row r="88" spans="1:4" x14ac:dyDescent="0.25">
      <c r="A88" s="1">
        <v>45109</v>
      </c>
      <c r="B88">
        <f t="shared" ca="1" si="3"/>
        <v>98.018018018018012</v>
      </c>
      <c r="C88">
        <f t="shared" ca="1" si="4"/>
        <v>104.69963220269717</v>
      </c>
      <c r="D88">
        <f t="shared" ca="1" si="5"/>
        <v>87.92710706150342</v>
      </c>
    </row>
    <row r="89" spans="1:4" x14ac:dyDescent="0.25">
      <c r="A89" s="1">
        <v>45116</v>
      </c>
      <c r="B89">
        <f t="shared" ca="1" si="3"/>
        <v>98.522522522522522</v>
      </c>
      <c r="C89">
        <f t="shared" ca="1" si="4"/>
        <v>108.54107069881486</v>
      </c>
      <c r="D89">
        <f t="shared" ca="1" si="5"/>
        <v>94.305239179954441</v>
      </c>
    </row>
    <row r="90" spans="1:4" x14ac:dyDescent="0.25">
      <c r="A90" s="1">
        <v>45123</v>
      </c>
      <c r="B90">
        <f t="shared" ca="1" si="3"/>
        <v>100</v>
      </c>
      <c r="C90">
        <f t="shared" ca="1" si="4"/>
        <v>109.31753167143441</v>
      </c>
      <c r="D90">
        <f t="shared" ca="1" si="5"/>
        <v>92.743247640741941</v>
      </c>
    </row>
    <row r="91" spans="1:4" x14ac:dyDescent="0.25">
      <c r="A91" s="1">
        <v>45130</v>
      </c>
      <c r="B91">
        <f t="shared" ca="1" si="3"/>
        <v>101.68168168168168</v>
      </c>
      <c r="C91">
        <f t="shared" ca="1" si="4"/>
        <v>109.76706170821416</v>
      </c>
      <c r="D91">
        <f t="shared" ca="1" si="5"/>
        <v>90.562967783924492</v>
      </c>
    </row>
    <row r="92" spans="1:4" x14ac:dyDescent="0.25">
      <c r="A92" s="1">
        <v>45137</v>
      </c>
      <c r="B92">
        <f t="shared" ca="1" si="3"/>
        <v>99.915915915915917</v>
      </c>
      <c r="C92">
        <f t="shared" ca="1" si="4"/>
        <v>107.31507968941563</v>
      </c>
      <c r="D92">
        <f t="shared" ca="1" si="5"/>
        <v>86.137325089489096</v>
      </c>
    </row>
    <row r="93" spans="1:4" x14ac:dyDescent="0.25">
      <c r="A93" s="1">
        <v>45144</v>
      </c>
      <c r="B93">
        <f t="shared" ca="1" si="3"/>
        <v>99.207207207207219</v>
      </c>
      <c r="C93">
        <f t="shared" ca="1" si="4"/>
        <v>107.68287699223539</v>
      </c>
      <c r="D93">
        <f t="shared" ca="1" si="5"/>
        <v>84.672958021477385</v>
      </c>
    </row>
    <row r="94" spans="1:4" x14ac:dyDescent="0.25">
      <c r="A94" s="1">
        <v>45151</v>
      </c>
      <c r="B94">
        <f t="shared" ca="1" si="3"/>
        <v>97.549549549549539</v>
      </c>
      <c r="C94">
        <f t="shared" ca="1" si="4"/>
        <v>105.10829587249692</v>
      </c>
      <c r="D94">
        <f t="shared" ca="1" si="5"/>
        <v>79.726651480637813</v>
      </c>
    </row>
    <row r="95" spans="1:4" x14ac:dyDescent="0.25">
      <c r="A95" s="1">
        <v>45158</v>
      </c>
      <c r="B95">
        <f t="shared" ca="1" si="3"/>
        <v>98.834834834834837</v>
      </c>
      <c r="C95">
        <f t="shared" ca="1" si="4"/>
        <v>106.06865549652636</v>
      </c>
      <c r="D95">
        <f t="shared" ca="1" si="5"/>
        <v>83.306215424666448</v>
      </c>
    </row>
    <row r="96" spans="1:4" x14ac:dyDescent="0.25">
      <c r="A96" s="1">
        <v>45165</v>
      </c>
      <c r="B96">
        <f t="shared" ca="1" si="3"/>
        <v>101.50150150150151</v>
      </c>
      <c r="C96">
        <f t="shared" ca="1" si="4"/>
        <v>107.11074785451574</v>
      </c>
      <c r="D96">
        <f t="shared" ca="1" si="5"/>
        <v>86.462739993491695</v>
      </c>
    </row>
    <row r="97" spans="1:4" x14ac:dyDescent="0.25">
      <c r="A97" s="1">
        <v>45172</v>
      </c>
      <c r="B97">
        <f t="shared" ca="1" si="3"/>
        <v>101.21321321321321</v>
      </c>
      <c r="C97">
        <f t="shared" ca="1" si="4"/>
        <v>106.17082141397631</v>
      </c>
      <c r="D97">
        <f t="shared" ca="1" si="5"/>
        <v>84.510250569476071</v>
      </c>
    </row>
    <row r="98" spans="1:4" x14ac:dyDescent="0.25">
      <c r="A98" s="1">
        <v>45179</v>
      </c>
      <c r="B98">
        <f t="shared" ca="1" si="3"/>
        <v>101.98198198198199</v>
      </c>
      <c r="C98">
        <f t="shared" ca="1" si="4"/>
        <v>107.88720882713527</v>
      </c>
      <c r="D98">
        <f t="shared" ca="1" si="5"/>
        <v>88.187438984705508</v>
      </c>
    </row>
    <row r="99" spans="1:4" x14ac:dyDescent="0.25">
      <c r="A99" s="1">
        <v>45186</v>
      </c>
      <c r="B99">
        <f t="shared" ca="1" si="3"/>
        <v>99.75975975975976</v>
      </c>
      <c r="C99">
        <f t="shared" ca="1" si="4"/>
        <v>105.00612995504702</v>
      </c>
      <c r="D99">
        <f t="shared" ca="1" si="5"/>
        <v>86.820696387894557</v>
      </c>
    </row>
    <row r="100" spans="1:4" x14ac:dyDescent="0.25">
      <c r="A100" s="1">
        <v>45193</v>
      </c>
      <c r="B100">
        <f t="shared" ca="1" si="3"/>
        <v>99.483483483483468</v>
      </c>
      <c r="C100">
        <f t="shared" ca="1" si="4"/>
        <v>104.20923579893748</v>
      </c>
      <c r="D100">
        <f t="shared" ca="1" si="5"/>
        <v>80.377481288643011</v>
      </c>
    </row>
    <row r="101" spans="1:4" x14ac:dyDescent="0.25">
      <c r="A101" s="1">
        <v>45200</v>
      </c>
      <c r="B101">
        <f t="shared" ca="1" si="3"/>
        <v>98.462462462462469</v>
      </c>
      <c r="C101">
        <f t="shared" ca="1" si="4"/>
        <v>103.16714344094811</v>
      </c>
      <c r="D101">
        <f t="shared" ca="1" si="5"/>
        <v>80.800520663846399</v>
      </c>
    </row>
    <row r="102" spans="1:4" x14ac:dyDescent="0.25">
      <c r="A102" s="1">
        <v>45207</v>
      </c>
      <c r="B102">
        <f t="shared" ca="1" si="3"/>
        <v>100.25225225225225</v>
      </c>
      <c r="C102">
        <f t="shared" ca="1" si="4"/>
        <v>102.04331834899878</v>
      </c>
      <c r="D102">
        <f t="shared" ca="1" si="5"/>
        <v>89.65180605271722</v>
      </c>
    </row>
    <row r="103" spans="1:4" x14ac:dyDescent="0.25">
      <c r="A103" s="1">
        <v>45214</v>
      </c>
      <c r="B103">
        <f t="shared" ca="1" si="3"/>
        <v>96.984984984984976</v>
      </c>
      <c r="C103">
        <f t="shared" ca="1" si="4"/>
        <v>99.489170412750312</v>
      </c>
      <c r="D103">
        <f t="shared" ca="1" si="5"/>
        <v>92.027334851936232</v>
      </c>
    </row>
    <row r="104" spans="1:4" x14ac:dyDescent="0.25">
      <c r="A104" s="1">
        <v>45221</v>
      </c>
      <c r="B104">
        <f t="shared" ca="1" si="3"/>
        <v>95.183183183183175</v>
      </c>
      <c r="C104">
        <f t="shared" ca="1" si="4"/>
        <v>99.121373109930531</v>
      </c>
      <c r="D104">
        <f t="shared" ca="1" si="5"/>
        <v>87.569150667100544</v>
      </c>
    </row>
    <row r="105" spans="1:4" x14ac:dyDescent="0.25">
      <c r="A105" s="1">
        <v>45228</v>
      </c>
      <c r="B105">
        <f t="shared" ca="1" si="3"/>
        <v>99.123123123123108</v>
      </c>
      <c r="C105">
        <f t="shared" ca="1" si="4"/>
        <v>102.84021250510831</v>
      </c>
      <c r="D105">
        <f t="shared" ca="1" si="5"/>
        <v>89.781972014318256</v>
      </c>
    </row>
    <row r="106" spans="1:4" x14ac:dyDescent="0.25">
      <c r="A106" s="1">
        <v>45235</v>
      </c>
      <c r="B106">
        <f t="shared" ca="1" si="3"/>
        <v>99.339339339339332</v>
      </c>
      <c r="C106">
        <f t="shared" ca="1" si="4"/>
        <v>102.81977932161833</v>
      </c>
      <c r="D106">
        <f t="shared" ca="1" si="5"/>
        <v>82.818093068662549</v>
      </c>
    </row>
    <row r="107" spans="1:4" x14ac:dyDescent="0.25">
      <c r="A107" s="1">
        <v>45242</v>
      </c>
      <c r="B107">
        <f t="shared" ca="1" si="3"/>
        <v>100.84084084084084</v>
      </c>
      <c r="C107">
        <f t="shared" ca="1" si="4"/>
        <v>105.63955864323663</v>
      </c>
      <c r="D107">
        <f t="shared" ca="1" si="5"/>
        <v>85.161080377481284</v>
      </c>
    </row>
    <row r="108" spans="1:4" x14ac:dyDescent="0.25">
      <c r="A108" s="1">
        <v>45249</v>
      </c>
      <c r="B108">
        <f t="shared" ca="1" si="3"/>
        <v>101.51351351351352</v>
      </c>
      <c r="C108">
        <f t="shared" ca="1" si="4"/>
        <v>106.5181855333061</v>
      </c>
      <c r="D108">
        <f t="shared" ca="1" si="5"/>
        <v>86.788154897494309</v>
      </c>
    </row>
    <row r="109" spans="1:4" x14ac:dyDescent="0.25">
      <c r="A109" s="1">
        <v>45256</v>
      </c>
      <c r="B109">
        <f t="shared" ca="1" si="3"/>
        <v>102.75075075075075</v>
      </c>
      <c r="C109">
        <f t="shared" ca="1" si="4"/>
        <v>107.17204740498572</v>
      </c>
      <c r="D109">
        <f t="shared" ca="1" si="5"/>
        <v>95.802147738366415</v>
      </c>
    </row>
    <row r="110" spans="1:4" x14ac:dyDescent="0.25">
      <c r="A110" s="1">
        <v>45263</v>
      </c>
      <c r="B110">
        <f t="shared" ca="1" si="3"/>
        <v>104.0840840840841</v>
      </c>
      <c r="C110">
        <f t="shared" ca="1" si="4"/>
        <v>110.03269309358399</v>
      </c>
      <c r="D110">
        <f t="shared" ca="1" si="5"/>
        <v>93.394077448747154</v>
      </c>
    </row>
    <row r="111" spans="1:4" x14ac:dyDescent="0.25">
      <c r="A111" s="1">
        <v>45270</v>
      </c>
      <c r="B111">
        <f t="shared" ca="1" si="3"/>
        <v>105.52552552552552</v>
      </c>
      <c r="C111">
        <f t="shared" ca="1" si="4"/>
        <v>111.23825091949327</v>
      </c>
      <c r="D111">
        <f t="shared" ca="1" si="5"/>
        <v>95.606898795964838</v>
      </c>
    </row>
    <row r="112" spans="1:4" x14ac:dyDescent="0.25">
      <c r="A112" s="1">
        <v>45277</v>
      </c>
      <c r="B112">
        <f t="shared" ca="1" si="3"/>
        <v>105.62162162162163</v>
      </c>
      <c r="C112">
        <f t="shared" ca="1" si="4"/>
        <v>110.8500204331835</v>
      </c>
      <c r="D112">
        <f t="shared" ca="1" si="5"/>
        <v>98.763423364790114</v>
      </c>
    </row>
    <row r="113" spans="1:4" x14ac:dyDescent="0.25">
      <c r="A113" s="1">
        <v>45284</v>
      </c>
      <c r="B113">
        <f t="shared" ca="1" si="3"/>
        <v>105.99399399399398</v>
      </c>
      <c r="C113">
        <f t="shared" ca="1" si="4"/>
        <v>110.74785451573356</v>
      </c>
      <c r="D113">
        <f t="shared" ca="1" si="5"/>
        <v>95.444191343963553</v>
      </c>
    </row>
    <row r="114" spans="1:4" x14ac:dyDescent="0.25">
      <c r="A114" s="1">
        <v>45291</v>
      </c>
      <c r="B114">
        <f t="shared" ca="1" si="3"/>
        <v>105.14114114114115</v>
      </c>
      <c r="C114">
        <f t="shared" ca="1" si="4"/>
        <v>108.60237024928483</v>
      </c>
      <c r="D114">
        <f t="shared" ca="1" si="5"/>
        <v>91.474129515131779</v>
      </c>
    </row>
    <row r="115" spans="1:4" x14ac:dyDescent="0.25">
      <c r="A115" s="1">
        <v>45298</v>
      </c>
      <c r="B115">
        <f t="shared" ca="1" si="3"/>
        <v>106.49849849849848</v>
      </c>
      <c r="C115">
        <f t="shared" ca="1" si="4"/>
        <v>109.1540662035145</v>
      </c>
      <c r="D115">
        <f t="shared" ca="1" si="5"/>
        <v>90.82329970712658</v>
      </c>
    </row>
    <row r="116" spans="1:4" x14ac:dyDescent="0.25">
      <c r="A116" s="1">
        <v>45305</v>
      </c>
      <c r="B116">
        <f t="shared" ca="1" si="3"/>
        <v>106.94294294294295</v>
      </c>
      <c r="C116">
        <f t="shared" ca="1" si="4"/>
        <v>107.86677564364528</v>
      </c>
      <c r="D116">
        <f t="shared" ca="1" si="5"/>
        <v>83.729254799869835</v>
      </c>
    </row>
    <row r="117" spans="1:4" x14ac:dyDescent="0.25">
      <c r="A117" s="1">
        <v>45312</v>
      </c>
      <c r="B117">
        <f t="shared" ca="1" si="3"/>
        <v>109.45345345345345</v>
      </c>
      <c r="C117">
        <f t="shared" ca="1" si="4"/>
        <v>111.91254597466286</v>
      </c>
      <c r="D117">
        <f t="shared" ca="1" si="5"/>
        <v>87.30881874389847</v>
      </c>
    </row>
    <row r="118" spans="1:4" x14ac:dyDescent="0.25">
      <c r="A118" s="1">
        <v>45319</v>
      </c>
      <c r="B118">
        <f t="shared" ca="1" si="3"/>
        <v>110.81081081081081</v>
      </c>
      <c r="C118">
        <f t="shared" ca="1" si="4"/>
        <v>111.15651818553332</v>
      </c>
      <c r="D118">
        <f t="shared" ca="1" si="5"/>
        <v>87.211194272697696</v>
      </c>
    </row>
    <row r="119" spans="1:4" x14ac:dyDescent="0.25">
      <c r="A119" s="1">
        <v>45326</v>
      </c>
      <c r="B119">
        <f t="shared" ca="1" si="3"/>
        <v>111.95195195195195</v>
      </c>
      <c r="C119">
        <f t="shared" ca="1" si="4"/>
        <v>111.74908050674294</v>
      </c>
      <c r="D119">
        <f t="shared" ca="1" si="5"/>
        <v>84.249918646273997</v>
      </c>
    </row>
    <row r="120" spans="1:4" x14ac:dyDescent="0.25">
      <c r="A120" s="1">
        <v>45333</v>
      </c>
      <c r="B120">
        <f t="shared" ca="1" si="3"/>
        <v>112.92492492492494</v>
      </c>
      <c r="C120">
        <f t="shared" ca="1" si="4"/>
        <v>113.40416836943197</v>
      </c>
      <c r="D120">
        <f t="shared" ca="1" si="5"/>
        <v>84.738041002277896</v>
      </c>
    </row>
    <row r="121" spans="1:4" x14ac:dyDescent="0.25">
      <c r="A121" s="1">
        <v>45340</v>
      </c>
      <c r="B121">
        <f t="shared" ca="1" si="3"/>
        <v>113.76576576576576</v>
      </c>
      <c r="C121">
        <f t="shared" ca="1" si="4"/>
        <v>116.22394769105027</v>
      </c>
      <c r="D121">
        <f t="shared" ca="1" si="5"/>
        <v>82.980800520663848</v>
      </c>
    </row>
    <row r="122" spans="1:4" x14ac:dyDescent="0.25">
      <c r="A122" s="1">
        <v>45347</v>
      </c>
      <c r="B122">
        <f t="shared" ca="1" si="3"/>
        <v>114.28228228228228</v>
      </c>
      <c r="C122">
        <f t="shared" ca="1" si="4"/>
        <v>115.6926849203106</v>
      </c>
      <c r="D122">
        <f t="shared" ca="1" si="5"/>
        <v>85.095997396680772</v>
      </c>
    </row>
    <row r="123" spans="1:4" x14ac:dyDescent="0.25">
      <c r="A123" s="1">
        <v>45354</v>
      </c>
      <c r="B123">
        <f t="shared" ca="1" si="3"/>
        <v>114.42642642642645</v>
      </c>
      <c r="C123">
        <f t="shared" ca="1" si="4"/>
        <v>116.77564364527994</v>
      </c>
      <c r="D123">
        <f t="shared" ca="1" si="5"/>
        <v>94.012365766352104</v>
      </c>
    </row>
    <row r="124" spans="1:4" x14ac:dyDescent="0.25">
      <c r="A124" s="1">
        <v>45361</v>
      </c>
      <c r="B124">
        <f t="shared" ca="1" si="3"/>
        <v>114.07807807807808</v>
      </c>
      <c r="C124">
        <f t="shared" ca="1" si="4"/>
        <v>118.71679607682877</v>
      </c>
      <c r="D124">
        <f t="shared" ca="1" si="5"/>
        <v>94.63065408395704</v>
      </c>
    </row>
    <row r="125" spans="1:4" x14ac:dyDescent="0.25">
      <c r="A125" s="1">
        <v>45368</v>
      </c>
      <c r="B125">
        <f t="shared" ca="1" si="3"/>
        <v>117.11711711711712</v>
      </c>
      <c r="C125">
        <f t="shared" ca="1" si="4"/>
        <v>118.38986514098897</v>
      </c>
      <c r="D125">
        <f t="shared" ca="1" si="5"/>
        <v>95.216400911161742</v>
      </c>
    </row>
    <row r="126" spans="1:4" x14ac:dyDescent="0.25">
      <c r="A126" s="1">
        <v>45375</v>
      </c>
      <c r="B126">
        <f t="shared" ca="1" si="3"/>
        <v>117.72972972972973</v>
      </c>
      <c r="C126">
        <f t="shared" ca="1" si="4"/>
        <v>119.39109113199837</v>
      </c>
      <c r="D126">
        <f t="shared" ca="1" si="5"/>
        <v>101.36674259681094</v>
      </c>
    </row>
    <row r="127" spans="1:4" x14ac:dyDescent="0.25">
      <c r="A127" s="1">
        <v>45382</v>
      </c>
      <c r="B127">
        <f t="shared" ca="1" si="3"/>
        <v>116.21621621621621</v>
      </c>
      <c r="C127">
        <f t="shared" ca="1" si="4"/>
        <v>117.22517368205968</v>
      </c>
      <c r="D127">
        <f t="shared" ca="1" si="5"/>
        <v>108.33062154246664</v>
      </c>
    </row>
    <row r="128" spans="1:4" x14ac:dyDescent="0.25">
      <c r="A128" s="1">
        <v>45389</v>
      </c>
      <c r="B128">
        <f t="shared" ca="1" si="3"/>
        <v>117.1051051051051</v>
      </c>
      <c r="C128">
        <f t="shared" ca="1" si="4"/>
        <v>116.36697997548021</v>
      </c>
      <c r="D128">
        <f t="shared" ca="1" si="5"/>
        <v>113.76505043931012</v>
      </c>
    </row>
    <row r="129" spans="1:4" x14ac:dyDescent="0.25">
      <c r="A129" s="1">
        <v>45396</v>
      </c>
      <c r="B129">
        <f t="shared" ca="1" si="3"/>
        <v>113.48948948948949</v>
      </c>
      <c r="C129">
        <f t="shared" ca="1" si="4"/>
        <v>116.59174499387007</v>
      </c>
      <c r="D129">
        <f t="shared" ca="1" si="5"/>
        <v>111.48714611129189</v>
      </c>
    </row>
    <row r="130" spans="1:4" x14ac:dyDescent="0.25">
      <c r="A130" s="1">
        <v>45403</v>
      </c>
      <c r="B130">
        <f t="shared" ca="1" si="3"/>
        <v>115.69969969969969</v>
      </c>
      <c r="C130">
        <f t="shared" ca="1" si="4"/>
        <v>118.14466693910913</v>
      </c>
      <c r="D130">
        <f t="shared" ca="1" si="5"/>
        <v>113.30946957370647</v>
      </c>
    </row>
    <row r="131" spans="1:4" x14ac:dyDescent="0.25">
      <c r="A131" s="1">
        <v>45410</v>
      </c>
      <c r="B131">
        <f t="shared" ref="B131:B194" ca="1" si="6">100*(A131/$B$2)</f>
        <v>115.42342342342342</v>
      </c>
      <c r="C131">
        <f t="shared" ref="C131:C194" ca="1" si="7">100*(B131/$B$2)</f>
        <v>117.28647323252963</v>
      </c>
      <c r="D131">
        <f t="shared" ref="D131:D194" ca="1" si="8">100*(C131/$B$2)</f>
        <v>108.10283110966481</v>
      </c>
    </row>
    <row r="132" spans="1:4" x14ac:dyDescent="0.25">
      <c r="A132" s="1">
        <v>45417</v>
      </c>
      <c r="B132">
        <f t="shared" ca="1" si="6"/>
        <v>117.69369369369369</v>
      </c>
      <c r="C132">
        <f t="shared" ca="1" si="7"/>
        <v>121.47527584797713</v>
      </c>
      <c r="D132">
        <f t="shared" ca="1" si="8"/>
        <v>115.4246664497234</v>
      </c>
    </row>
    <row r="133" spans="1:4" x14ac:dyDescent="0.25">
      <c r="A133" s="1">
        <v>45424</v>
      </c>
      <c r="B133">
        <f t="shared" ca="1" si="6"/>
        <v>118.42642642642642</v>
      </c>
      <c r="C133">
        <f t="shared" ca="1" si="7"/>
        <v>120.73968124233755</v>
      </c>
      <c r="D133">
        <f t="shared" ca="1" si="8"/>
        <v>117.6374877969411</v>
      </c>
    </row>
    <row r="134" spans="1:4" x14ac:dyDescent="0.25">
      <c r="A134" s="1">
        <v>45431</v>
      </c>
      <c r="B134">
        <f t="shared" ca="1" si="6"/>
        <v>118.57057057057057</v>
      </c>
      <c r="C134">
        <f t="shared" ca="1" si="7"/>
        <v>120.16755210461791</v>
      </c>
      <c r="D134">
        <f t="shared" ca="1" si="8"/>
        <v>113.40709404490725</v>
      </c>
    </row>
    <row r="135" spans="1:4" x14ac:dyDescent="0.25">
      <c r="A135" s="1">
        <v>45438</v>
      </c>
      <c r="B135">
        <f t="shared" ca="1" si="6"/>
        <v>116.9129129129129</v>
      </c>
      <c r="C135">
        <f t="shared" ca="1" si="7"/>
        <v>119.16632611360851</v>
      </c>
      <c r="D135">
        <f t="shared" ca="1" si="8"/>
        <v>113.34201106410673</v>
      </c>
    </row>
    <row r="136" spans="1:4" x14ac:dyDescent="0.25">
      <c r="A136" s="1">
        <v>45445</v>
      </c>
      <c r="B136">
        <f t="shared" ca="1" si="6"/>
        <v>119.87987987987987</v>
      </c>
      <c r="C136">
        <f t="shared" ca="1" si="7"/>
        <v>119.53412341642829</v>
      </c>
      <c r="D136">
        <f t="shared" ca="1" si="8"/>
        <v>109.30686625447446</v>
      </c>
    </row>
    <row r="137" spans="1:4" x14ac:dyDescent="0.25">
      <c r="A137" s="1">
        <v>45452</v>
      </c>
      <c r="B137">
        <f t="shared" ca="1" si="6"/>
        <v>121.17717717717717</v>
      </c>
      <c r="C137">
        <f t="shared" ca="1" si="7"/>
        <v>112.11687780956272</v>
      </c>
      <c r="D137">
        <f t="shared" ca="1" si="8"/>
        <v>107.67979173446145</v>
      </c>
    </row>
    <row r="138" spans="1:4" x14ac:dyDescent="0.25">
      <c r="A138" s="1">
        <v>45459</v>
      </c>
      <c r="B138">
        <f t="shared" ca="1" si="6"/>
        <v>122.07807807807806</v>
      </c>
      <c r="C138">
        <f t="shared" ca="1" si="7"/>
        <v>114.28279525950143</v>
      </c>
      <c r="D138">
        <f t="shared" ca="1" si="8"/>
        <v>111.64985356329321</v>
      </c>
    </row>
    <row r="139" spans="1:4" x14ac:dyDescent="0.25">
      <c r="A139" s="1">
        <v>45466</v>
      </c>
      <c r="B139">
        <f t="shared" ca="1" si="6"/>
        <v>122.59459459459461</v>
      </c>
      <c r="C139">
        <f t="shared" ca="1" si="7"/>
        <v>112.07601144258277</v>
      </c>
      <c r="D139">
        <f t="shared" ca="1" si="8"/>
        <v>113.14676212170518</v>
      </c>
    </row>
    <row r="140" spans="1:4" x14ac:dyDescent="0.25">
      <c r="A140" s="1">
        <v>45473</v>
      </c>
      <c r="B140">
        <f t="shared" ca="1" si="6"/>
        <v>122.72672672672672</v>
      </c>
      <c r="C140">
        <f t="shared" ca="1" si="7"/>
        <v>115.1614221495709</v>
      </c>
      <c r="D140">
        <f t="shared" ca="1" si="8"/>
        <v>119.68760169215751</v>
      </c>
    </row>
    <row r="141" spans="1:4" x14ac:dyDescent="0.25">
      <c r="A141" s="1">
        <v>45480</v>
      </c>
      <c r="B141">
        <f t="shared" ca="1" si="6"/>
        <v>124.07207207207207</v>
      </c>
      <c r="C141">
        <f t="shared" ca="1" si="7"/>
        <v>115.89701675521047</v>
      </c>
      <c r="D141">
        <f t="shared" ca="1" si="8"/>
        <v>124.34103481939474</v>
      </c>
    </row>
    <row r="142" spans="1:4" x14ac:dyDescent="0.25">
      <c r="A142" s="1">
        <v>45487</v>
      </c>
      <c r="B142">
        <f t="shared" ca="1" si="6"/>
        <v>121.4894894894895</v>
      </c>
      <c r="C142">
        <f t="shared" ca="1" si="7"/>
        <v>112.97507151614221</v>
      </c>
      <c r="D142">
        <f t="shared" ca="1" si="8"/>
        <v>121.86788154897495</v>
      </c>
    </row>
    <row r="143" spans="1:4" x14ac:dyDescent="0.25">
      <c r="A143" s="1">
        <v>45494</v>
      </c>
      <c r="B143">
        <f t="shared" ca="1" si="6"/>
        <v>120.68468468468467</v>
      </c>
      <c r="C143">
        <f t="shared" ca="1" si="7"/>
        <v>113.19983653453207</v>
      </c>
      <c r="D143">
        <f t="shared" ca="1" si="8"/>
        <v>120.30589000976244</v>
      </c>
    </row>
    <row r="144" spans="1:4" x14ac:dyDescent="0.25">
      <c r="A144" s="1">
        <v>45501</v>
      </c>
      <c r="B144">
        <f t="shared" ca="1" si="6"/>
        <v>116.92492492492492</v>
      </c>
      <c r="C144">
        <f t="shared" ca="1" si="7"/>
        <v>109.46056395586432</v>
      </c>
      <c r="D144">
        <f t="shared" ca="1" si="8"/>
        <v>119.1994793361536</v>
      </c>
    </row>
    <row r="145" spans="1:4" x14ac:dyDescent="0.25">
      <c r="A145" s="1">
        <v>45508</v>
      </c>
      <c r="B145">
        <f t="shared" ca="1" si="6"/>
        <v>117.26126126126127</v>
      </c>
      <c r="C145">
        <f t="shared" ca="1" si="7"/>
        <v>109.6853289742542</v>
      </c>
      <c r="D145">
        <f t="shared" ca="1" si="8"/>
        <v>118.67881548974944</v>
      </c>
    </row>
    <row r="146" spans="1:4" x14ac:dyDescent="0.25">
      <c r="A146" s="1">
        <v>45515</v>
      </c>
      <c r="B146">
        <f t="shared" ca="1" si="6"/>
        <v>121.21321321321321</v>
      </c>
      <c r="C146">
        <f t="shared" ca="1" si="7"/>
        <v>112.3416428279526</v>
      </c>
      <c r="D146">
        <f t="shared" ca="1" si="8"/>
        <v>127.00943703221608</v>
      </c>
    </row>
    <row r="147" spans="1:4" x14ac:dyDescent="0.25">
      <c r="A147" s="1">
        <v>45522</v>
      </c>
      <c r="B147">
        <f t="shared" ca="1" si="6"/>
        <v>121.58558558558559</v>
      </c>
      <c r="C147">
        <f t="shared" ca="1" si="7"/>
        <v>114.42582754393136</v>
      </c>
      <c r="D147">
        <f t="shared" ca="1" si="8"/>
        <v>128.73413602342987</v>
      </c>
    </row>
    <row r="148" spans="1:4" x14ac:dyDescent="0.25">
      <c r="A148" s="1">
        <v>45529</v>
      </c>
      <c r="B148">
        <f t="shared" ca="1" si="6"/>
        <v>122.6066066066066</v>
      </c>
      <c r="C148">
        <f t="shared" ca="1" si="7"/>
        <v>115.20228851655089</v>
      </c>
      <c r="D148">
        <f t="shared" ca="1" si="8"/>
        <v>127.04197852261633</v>
      </c>
    </row>
    <row r="149" spans="1:4" x14ac:dyDescent="0.25">
      <c r="A149" s="1">
        <v>45536</v>
      </c>
      <c r="B149">
        <f t="shared" ca="1" si="6"/>
        <v>118.3063063063063</v>
      </c>
      <c r="C149">
        <f t="shared" ca="1" si="7"/>
        <v>111.09521863506335</v>
      </c>
      <c r="D149">
        <f t="shared" ca="1" si="8"/>
        <v>121.02180279856816</v>
      </c>
    </row>
    <row r="150" spans="1:4" x14ac:dyDescent="0.25">
      <c r="A150" s="1">
        <v>45543</v>
      </c>
      <c r="B150">
        <f t="shared" ca="1" si="6"/>
        <v>122.37837837837837</v>
      </c>
      <c r="C150">
        <f t="shared" ca="1" si="7"/>
        <v>112.8320392317123</v>
      </c>
      <c r="D150">
        <f t="shared" ca="1" si="8"/>
        <v>130.55645948584444</v>
      </c>
    </row>
    <row r="151" spans="1:4" x14ac:dyDescent="0.25">
      <c r="A151" s="1">
        <v>45550</v>
      </c>
      <c r="B151">
        <f t="shared" ca="1" si="6"/>
        <v>122.82282282282281</v>
      </c>
      <c r="C151">
        <f t="shared" ca="1" si="7"/>
        <v>113.44503473641194</v>
      </c>
      <c r="D151">
        <f t="shared" ca="1" si="8"/>
        <v>130.75170842824602</v>
      </c>
    </row>
    <row r="152" spans="1:4" x14ac:dyDescent="0.25">
      <c r="A152" s="1">
        <v>45557</v>
      </c>
      <c r="B152">
        <f t="shared" ca="1" si="6"/>
        <v>124.55255255255256</v>
      </c>
      <c r="C152">
        <f t="shared" ca="1" si="7"/>
        <v>117.8586023702493</v>
      </c>
      <c r="D152">
        <f t="shared" ca="1" si="8"/>
        <v>131.89066059225513</v>
      </c>
    </row>
    <row r="153" spans="1:4" x14ac:dyDescent="0.25">
      <c r="A153" s="1">
        <v>45564</v>
      </c>
      <c r="B153">
        <f t="shared" ca="1" si="6"/>
        <v>125.40540540540542</v>
      </c>
      <c r="C153">
        <f t="shared" ca="1" si="7"/>
        <v>114.32366162648142</v>
      </c>
      <c r="D153">
        <f t="shared" ca="1" si="8"/>
        <v>132.34624145785878</v>
      </c>
    </row>
    <row r="154" spans="1:4" x14ac:dyDescent="0.25">
      <c r="A154" s="1">
        <v>45571</v>
      </c>
      <c r="B154">
        <f t="shared" ca="1" si="6"/>
        <v>127.36336336336336</v>
      </c>
      <c r="C154">
        <f t="shared" ca="1" si="7"/>
        <v>114.87535758071108</v>
      </c>
      <c r="D154">
        <f t="shared" ca="1" si="8"/>
        <v>133.06215424666451</v>
      </c>
    </row>
    <row r="155" spans="1:4" x14ac:dyDescent="0.25">
      <c r="A155" s="1">
        <v>45578</v>
      </c>
      <c r="B155">
        <f t="shared" ca="1" si="6"/>
        <v>129.05705705705705</v>
      </c>
      <c r="C155">
        <f t="shared" ca="1" si="7"/>
        <v>115.22272170004086</v>
      </c>
      <c r="D155">
        <f t="shared" ca="1" si="8"/>
        <v>145.29775463716237</v>
      </c>
    </row>
    <row r="156" spans="1:4" x14ac:dyDescent="0.25">
      <c r="A156" s="1">
        <v>45585</v>
      </c>
      <c r="B156">
        <f t="shared" ca="1" si="6"/>
        <v>128.56456456456456</v>
      </c>
      <c r="C156">
        <f t="shared" ca="1" si="7"/>
        <v>113.38373518594199</v>
      </c>
      <c r="D156">
        <f t="shared" ca="1" si="8"/>
        <v>142.46664497233974</v>
      </c>
    </row>
    <row r="157" spans="1:4" x14ac:dyDescent="0.25">
      <c r="A157" s="1">
        <v>45592</v>
      </c>
      <c r="B157">
        <f t="shared" ca="1" si="6"/>
        <v>126.59459459459458</v>
      </c>
      <c r="C157">
        <f t="shared" ca="1" si="7"/>
        <v>112.05557825909278</v>
      </c>
      <c r="D157">
        <f t="shared" ca="1" si="8"/>
        <v>135.6003904978848</v>
      </c>
    </row>
    <row r="158" spans="1:4" x14ac:dyDescent="0.25">
      <c r="A158" s="1">
        <v>45599</v>
      </c>
      <c r="B158">
        <f t="shared" ca="1" si="6"/>
        <v>131.92792792792793</v>
      </c>
      <c r="C158">
        <f t="shared" ca="1" si="7"/>
        <v>110.95218635063343</v>
      </c>
      <c r="D158">
        <f t="shared" ca="1" si="8"/>
        <v>134.0383989586723</v>
      </c>
    </row>
    <row r="159" spans="1:4" x14ac:dyDescent="0.25">
      <c r="A159" s="1">
        <v>45606</v>
      </c>
      <c r="B159">
        <f t="shared" ca="1" si="6"/>
        <v>131.53153153153156</v>
      </c>
      <c r="C159">
        <f t="shared" ca="1" si="7"/>
        <v>109.93052717613405</v>
      </c>
      <c r="D159">
        <f t="shared" ca="1" si="8"/>
        <v>123.56003904978847</v>
      </c>
    </row>
    <row r="160" spans="1:4" x14ac:dyDescent="0.25">
      <c r="A160" s="1">
        <v>45613</v>
      </c>
      <c r="B160">
        <f t="shared" ca="1" si="6"/>
        <v>135.15915915915915</v>
      </c>
      <c r="C160">
        <f t="shared" ca="1" si="7"/>
        <v>109.74662852472417</v>
      </c>
      <c r="D160">
        <f t="shared" ca="1" si="8"/>
        <v>135.43768304588349</v>
      </c>
    </row>
    <row r="161" spans="1:4" x14ac:dyDescent="0.25">
      <c r="A161" s="1">
        <v>45620</v>
      </c>
      <c r="B161">
        <f t="shared" ca="1" si="6"/>
        <v>135.14714714714714</v>
      </c>
      <c r="C161">
        <f t="shared" ca="1" si="7"/>
        <v>109.44013077237436</v>
      </c>
      <c r="D161">
        <f t="shared" ca="1" si="8"/>
        <v>131.07712333224862</v>
      </c>
    </row>
    <row r="162" spans="1:4" x14ac:dyDescent="0.25">
      <c r="A162" s="1">
        <v>45627</v>
      </c>
      <c r="B162">
        <f t="shared" ca="1" si="6"/>
        <v>136.54054054054055</v>
      </c>
      <c r="C162">
        <f t="shared" ca="1" si="7"/>
        <v>112.46424192889253</v>
      </c>
      <c r="D162">
        <f t="shared" ca="1" si="8"/>
        <v>129.77546371623819</v>
      </c>
    </row>
    <row r="163" spans="1:4" x14ac:dyDescent="0.25">
      <c r="A163" s="1">
        <v>45634</v>
      </c>
      <c r="B163">
        <f t="shared" ca="1" si="6"/>
        <v>136.08408408408411</v>
      </c>
      <c r="C163">
        <f t="shared" ca="1" si="7"/>
        <v>112.19861054352268</v>
      </c>
      <c r="D163">
        <f t="shared" ca="1" si="8"/>
        <v>129.97071265863974</v>
      </c>
    </row>
    <row r="164" spans="1:4" x14ac:dyDescent="0.25">
      <c r="A164" s="1">
        <v>45641</v>
      </c>
      <c r="B164">
        <f t="shared" ca="1" si="6"/>
        <v>134.35435435435434</v>
      </c>
      <c r="C164">
        <f t="shared" ca="1" si="7"/>
        <v>110.23702492848386</v>
      </c>
      <c r="D164">
        <f t="shared" ca="1" si="8"/>
        <v>123.75528799219005</v>
      </c>
    </row>
    <row r="165" spans="1:4" x14ac:dyDescent="0.25">
      <c r="A165" s="1">
        <v>45648</v>
      </c>
      <c r="B165">
        <f t="shared" ca="1" si="6"/>
        <v>134.75075075075077</v>
      </c>
      <c r="C165">
        <f t="shared" ca="1" si="7"/>
        <v>111.34041683694321</v>
      </c>
      <c r="D165">
        <f t="shared" ca="1" si="8"/>
        <v>122.29092092417832</v>
      </c>
    </row>
    <row r="166" spans="1:4" x14ac:dyDescent="0.25">
      <c r="A166" s="1">
        <v>45655</v>
      </c>
      <c r="B166">
        <f t="shared" ca="1" si="6"/>
        <v>135.56756756756755</v>
      </c>
      <c r="C166">
        <f t="shared" ca="1" si="7"/>
        <v>110.38005721291377</v>
      </c>
      <c r="D166">
        <f t="shared" ca="1" si="8"/>
        <v>126.81418808981451</v>
      </c>
    </row>
    <row r="167" spans="1:4" x14ac:dyDescent="0.25">
      <c r="A167" s="1">
        <v>45662</v>
      </c>
      <c r="B167">
        <f t="shared" ca="1" si="6"/>
        <v>134.2822822822823</v>
      </c>
      <c r="C167">
        <f t="shared" ca="1" si="7"/>
        <v>112.52554147936249</v>
      </c>
      <c r="D167">
        <f t="shared" ca="1" si="8"/>
        <v>134.26618939147411</v>
      </c>
    </row>
    <row r="168" spans="1:4" x14ac:dyDescent="0.25">
      <c r="A168" s="1">
        <v>45669</v>
      </c>
      <c r="B168">
        <f t="shared" ca="1" si="6"/>
        <v>137.62162162162161</v>
      </c>
      <c r="C168">
        <f t="shared" ca="1" si="7"/>
        <v>116.73477727829997</v>
      </c>
      <c r="D168">
        <f t="shared" ca="1" si="8"/>
        <v>134.72177025707776</v>
      </c>
    </row>
    <row r="169" spans="1:4" x14ac:dyDescent="0.25">
      <c r="A169" s="1">
        <v>45676</v>
      </c>
      <c r="B169">
        <f t="shared" ca="1" si="6"/>
        <v>137.75375375375376</v>
      </c>
      <c r="C169">
        <f t="shared" ca="1" si="7"/>
        <v>119.94278708622805</v>
      </c>
      <c r="D169">
        <f t="shared" ca="1" si="8"/>
        <v>139.76570126911813</v>
      </c>
    </row>
    <row r="170" spans="1:4" x14ac:dyDescent="0.25">
      <c r="A170" s="1">
        <v>45683</v>
      </c>
      <c r="B170">
        <f t="shared" ca="1" si="6"/>
        <v>139.4834834834835</v>
      </c>
      <c r="C170">
        <f t="shared" ca="1" si="7"/>
        <v>120.31058438904782</v>
      </c>
      <c r="D170">
        <f t="shared" ca="1" si="8"/>
        <v>148.71461112918973</v>
      </c>
    </row>
    <row r="171" spans="1:4" x14ac:dyDescent="0.25">
      <c r="A171" s="1">
        <v>45690</v>
      </c>
      <c r="B171">
        <f t="shared" ca="1" si="6"/>
        <v>139.15915915915915</v>
      </c>
      <c r="C171">
        <f t="shared" ca="1" si="7"/>
        <v>120.69881487535758</v>
      </c>
      <c r="D171">
        <f t="shared" ca="1" si="8"/>
        <v>154.7022453628376</v>
      </c>
    </row>
    <row r="172" spans="1:4" x14ac:dyDescent="0.25">
      <c r="A172" s="1">
        <v>45697</v>
      </c>
      <c r="B172">
        <f t="shared" ca="1" si="6"/>
        <v>139.0870870870871</v>
      </c>
      <c r="C172">
        <f t="shared" ca="1" si="7"/>
        <v>123.62076011442585</v>
      </c>
      <c r="D172">
        <f t="shared" ca="1" si="8"/>
        <v>152.45688252521964</v>
      </c>
    </row>
    <row r="173" spans="1:4" x14ac:dyDescent="0.25">
      <c r="A173" s="1">
        <v>45704</v>
      </c>
      <c r="B173">
        <f t="shared" ca="1" si="6"/>
        <v>139.15915915915915</v>
      </c>
      <c r="C173">
        <f t="shared" ca="1" si="7"/>
        <v>123.1712300776461</v>
      </c>
      <c r="D173">
        <f t="shared" ca="1" si="8"/>
        <v>152.29417507321836</v>
      </c>
    </row>
    <row r="174" spans="1:4" x14ac:dyDescent="0.25">
      <c r="A174" s="1">
        <v>45711</v>
      </c>
      <c r="B174">
        <f t="shared" ca="1" si="6"/>
        <v>135.90390390390391</v>
      </c>
      <c r="C174">
        <f t="shared" ca="1" si="7"/>
        <v>122.78299959133633</v>
      </c>
      <c r="D174">
        <f t="shared" ca="1" si="8"/>
        <v>142.92222583794339</v>
      </c>
    </row>
    <row r="175" spans="1:4" x14ac:dyDescent="0.25">
      <c r="A175" s="1">
        <v>45718</v>
      </c>
      <c r="B175">
        <f t="shared" ca="1" si="6"/>
        <v>127.60360360360362</v>
      </c>
      <c r="C175">
        <f t="shared" ca="1" si="7"/>
        <v>123.04863097670618</v>
      </c>
      <c r="D175">
        <f t="shared" ca="1" si="8"/>
        <v>145.85095997396681</v>
      </c>
    </row>
    <row r="176" spans="1:4" x14ac:dyDescent="0.25">
      <c r="A176" s="1">
        <v>45725</v>
      </c>
      <c r="B176">
        <f t="shared" ca="1" si="6"/>
        <v>126.12612612612612</v>
      </c>
      <c r="C176">
        <f t="shared" ca="1" si="7"/>
        <v>121.70004086636699</v>
      </c>
      <c r="D176">
        <f t="shared" ca="1" si="8"/>
        <v>154.24666449723395</v>
      </c>
    </row>
    <row r="177" spans="1:4" x14ac:dyDescent="0.25">
      <c r="A177" s="1">
        <v>45732</v>
      </c>
      <c r="B177">
        <f t="shared" ca="1" si="6"/>
        <v>127.54354354354356</v>
      </c>
      <c r="C177">
        <f t="shared" ca="1" si="7"/>
        <v>121.72047404985697</v>
      </c>
      <c r="D177">
        <f t="shared" ca="1" si="8"/>
        <v>158.7373901724699</v>
      </c>
    </row>
    <row r="178" spans="1:4" x14ac:dyDescent="0.25">
      <c r="A178" s="1">
        <v>45739</v>
      </c>
      <c r="B178">
        <f t="shared" ca="1" si="6"/>
        <v>126.13813813813815</v>
      </c>
      <c r="C178">
        <f t="shared" ca="1" si="7"/>
        <v>120.024519820188</v>
      </c>
      <c r="D178">
        <f t="shared" ca="1" si="8"/>
        <v>165.44093719492355</v>
      </c>
    </row>
    <row r="179" spans="1:4" x14ac:dyDescent="0.25">
      <c r="A179" s="1">
        <v>45746</v>
      </c>
      <c r="B179">
        <f t="shared" ca="1" si="6"/>
        <v>114.87087087087087</v>
      </c>
      <c r="C179">
        <f t="shared" ca="1" si="7"/>
        <v>110.40049039640377</v>
      </c>
      <c r="D179">
        <f t="shared" ca="1" si="8"/>
        <v>149.59323136999674</v>
      </c>
    </row>
    <row r="180" spans="1:4" x14ac:dyDescent="0.25">
      <c r="A180" s="1">
        <v>45753</v>
      </c>
      <c r="B180">
        <f t="shared" ca="1" si="6"/>
        <v>113.23723723723724</v>
      </c>
      <c r="C180">
        <f t="shared" ca="1" si="7"/>
        <v>108.19370657948511</v>
      </c>
      <c r="D180">
        <f t="shared" ca="1" si="8"/>
        <v>173.57630979498862</v>
      </c>
    </row>
    <row r="181" spans="1:4" x14ac:dyDescent="0.25">
      <c r="A181" s="1">
        <v>45760</v>
      </c>
      <c r="B181">
        <f t="shared" ca="1" si="6"/>
        <v>115.05105105105105</v>
      </c>
      <c r="C181">
        <f t="shared" ca="1" si="7"/>
        <v>110.78872088271352</v>
      </c>
      <c r="D181">
        <f t="shared" ca="1" si="8"/>
        <v>179.69410999023754</v>
      </c>
    </row>
    <row r="182" spans="1:4" x14ac:dyDescent="0.25">
      <c r="A182" s="1">
        <v>45767</v>
      </c>
      <c r="B182">
        <f t="shared" ca="1" si="6"/>
        <v>119.06306306306307</v>
      </c>
      <c r="C182">
        <f t="shared" ca="1" si="7"/>
        <v>115.28402125051085</v>
      </c>
      <c r="D182">
        <f t="shared" ca="1" si="8"/>
        <v>169.05304262935243</v>
      </c>
    </row>
    <row r="183" spans="1:4" x14ac:dyDescent="0.25">
      <c r="A183" s="1">
        <v>45774</v>
      </c>
      <c r="B183">
        <f t="shared" ca="1" si="6"/>
        <v>123.35135135135135</v>
      </c>
      <c r="C183">
        <f t="shared" ca="1" si="7"/>
        <v>119.08459337964857</v>
      </c>
      <c r="D183">
        <f t="shared" ca="1" si="8"/>
        <v>164.3996095021152</v>
      </c>
    </row>
    <row r="184" spans="1:4" x14ac:dyDescent="0.25">
      <c r="A184" s="1">
        <v>45781</v>
      </c>
      <c r="B184">
        <f t="shared" ca="1" si="6"/>
        <v>124.16816816816818</v>
      </c>
      <c r="C184">
        <f t="shared" ca="1" si="7"/>
        <v>119.4932570494483</v>
      </c>
      <c r="D184">
        <f t="shared" ca="1" si="8"/>
        <v>177.41620566221934</v>
      </c>
    </row>
    <row r="185" spans="1:4" x14ac:dyDescent="0.25">
      <c r="A185" s="1">
        <v>45788</v>
      </c>
      <c r="B185">
        <f t="shared" ca="1" si="6"/>
        <v>130.13813813813815</v>
      </c>
      <c r="C185">
        <f t="shared" ca="1" si="7"/>
        <v>122.02697180220679</v>
      </c>
      <c r="D185">
        <f t="shared" ca="1" si="8"/>
        <v>162.38203709729905</v>
      </c>
    </row>
    <row r="186" spans="1:4" x14ac:dyDescent="0.25">
      <c r="A186" s="1">
        <v>45795</v>
      </c>
      <c r="B186">
        <f t="shared" ca="1" si="6"/>
        <v>126.21021021021019</v>
      </c>
      <c r="C186">
        <f t="shared" ca="1" si="7"/>
        <v>120.37188393951777</v>
      </c>
      <c r="D186">
        <f t="shared" ca="1" si="8"/>
        <v>177.09079075821671</v>
      </c>
    </row>
    <row r="187" spans="1:4" x14ac:dyDescent="0.25">
      <c r="A187" s="1">
        <v>45802</v>
      </c>
      <c r="B187">
        <f t="shared" ca="1" si="6"/>
        <v>127.93993993993995</v>
      </c>
      <c r="C187">
        <f t="shared" ca="1" si="7"/>
        <v>120.92357989374744</v>
      </c>
      <c r="D187">
        <f t="shared" ca="1" si="8"/>
        <v>174.6501789781972</v>
      </c>
    </row>
    <row r="188" spans="1:4" x14ac:dyDescent="0.25">
      <c r="A188" s="1">
        <v>45809</v>
      </c>
      <c r="B188">
        <f t="shared" ca="1" si="6"/>
        <v>129.46546546546546</v>
      </c>
      <c r="C188">
        <f t="shared" ca="1" si="7"/>
        <v>121.70004086636699</v>
      </c>
      <c r="D188">
        <f t="shared" ca="1" si="8"/>
        <v>183.501464367068</v>
      </c>
    </row>
    <row r="189" spans="1:4" x14ac:dyDescent="0.25">
      <c r="A189" s="1">
        <v>45816</v>
      </c>
      <c r="B189">
        <f t="shared" ca="1" si="6"/>
        <v>127.85585585585586</v>
      </c>
      <c r="C189">
        <f t="shared" ca="1" si="7"/>
        <v>119.8406211687781</v>
      </c>
      <c r="D189">
        <f t="shared" ca="1" si="8"/>
        <v>187.76439960950214</v>
      </c>
    </row>
    <row r="190" spans="1:4" x14ac:dyDescent="0.25">
      <c r="A190" s="1">
        <v>45823</v>
      </c>
      <c r="B190">
        <f t="shared" ca="1" si="6"/>
        <v>127.43543543543542</v>
      </c>
      <c r="C190">
        <f t="shared" ca="1" si="7"/>
        <v>118.59419697588885</v>
      </c>
      <c r="D190">
        <f t="shared" ca="1" si="8"/>
        <v>182.91571753986332</v>
      </c>
    </row>
    <row r="191" spans="1:4" x14ac:dyDescent="0.25">
      <c r="A191" s="1">
        <v>45830</v>
      </c>
      <c r="B191">
        <f t="shared" ca="1" si="6"/>
        <v>129.38138138138137</v>
      </c>
      <c r="C191">
        <f t="shared" ca="1" si="7"/>
        <v>120.024519820188</v>
      </c>
      <c r="D191">
        <f t="shared" ca="1" si="8"/>
        <v>169.73641392775787</v>
      </c>
    </row>
    <row r="192" spans="1:4" x14ac:dyDescent="0.25">
      <c r="A192" s="1">
        <v>45837</v>
      </c>
      <c r="B192">
        <f t="shared" ca="1" si="6"/>
        <v>129.50150150150151</v>
      </c>
      <c r="C192">
        <f t="shared" ca="1" si="7"/>
        <v>120.31058438904782</v>
      </c>
      <c r="D192">
        <f t="shared" ca="1" si="8"/>
        <v>177.35112268141881</v>
      </c>
    </row>
    <row r="193" spans="1:4" x14ac:dyDescent="0.25">
      <c r="A193" s="1">
        <v>45844</v>
      </c>
      <c r="B193">
        <f t="shared" ca="1" si="6"/>
        <v>130.49849849849849</v>
      </c>
      <c r="C193">
        <f t="shared" ca="1" si="7"/>
        <v>122.19043727012668</v>
      </c>
      <c r="D193">
        <f t="shared" ca="1" si="8"/>
        <v>177.87178652782296</v>
      </c>
    </row>
    <row r="194" spans="1:4" x14ac:dyDescent="0.25">
      <c r="A194" s="1">
        <v>45851</v>
      </c>
      <c r="B194">
        <f t="shared" ca="1" si="6"/>
        <v>131.72372372372371</v>
      </c>
      <c r="C194">
        <f t="shared" ca="1" si="7"/>
        <v>121.9861054352268</v>
      </c>
      <c r="D194">
        <f t="shared" ca="1" si="8"/>
        <v>173.57630979498862</v>
      </c>
    </row>
    <row r="195" spans="1:4" x14ac:dyDescent="0.25">
      <c r="A195" s="1">
        <v>45858</v>
      </c>
      <c r="B195">
        <f t="shared" ref="B195:B214" ca="1" si="9">100*(A195/$B$2)</f>
        <v>132.66066066066065</v>
      </c>
      <c r="C195">
        <f t="shared" ref="C195:C214" ca="1" si="10">100*(B195/$B$2)</f>
        <v>122.12913771965674</v>
      </c>
      <c r="D195">
        <f t="shared" ref="D195:D214" ca="1" si="11">100*(C195/$B$2)</f>
        <v>179.7266514806378</v>
      </c>
    </row>
    <row r="196" spans="1:4" x14ac:dyDescent="0.25">
      <c r="A196" s="1">
        <v>45865</v>
      </c>
      <c r="B196">
        <f t="shared" ca="1" si="9"/>
        <v>131.30330330330332</v>
      </c>
      <c r="C196">
        <f t="shared" ca="1" si="10"/>
        <v>117.67470371883941</v>
      </c>
      <c r="D196">
        <f t="shared" ca="1" si="11"/>
        <v>178.55515782622845</v>
      </c>
    </row>
    <row r="197" spans="1:4" x14ac:dyDescent="0.25">
      <c r="A197" s="1">
        <v>45872</v>
      </c>
      <c r="B197">
        <f t="shared" ca="1" si="9"/>
        <v>133.41741741741743</v>
      </c>
      <c r="C197">
        <f t="shared" ca="1" si="10"/>
        <v>120.71924805884757</v>
      </c>
      <c r="D197">
        <f t="shared" ca="1" si="11"/>
        <v>200.61828831760496</v>
      </c>
    </row>
    <row r="198" spans="1:4" x14ac:dyDescent="0.25">
      <c r="A198" s="1">
        <v>45879</v>
      </c>
      <c r="B198">
        <f t="shared" ca="1" si="9"/>
        <v>134.67867867867869</v>
      </c>
      <c r="C198">
        <f t="shared" ca="1" si="10"/>
        <v>123.45729464650594</v>
      </c>
      <c r="D198">
        <f t="shared" ca="1" si="11"/>
        <v>199.02375528799217</v>
      </c>
    </row>
    <row r="199" spans="1:4" x14ac:dyDescent="0.25">
      <c r="A199" s="1">
        <v>45886</v>
      </c>
      <c r="B199">
        <f t="shared" ca="1" si="9"/>
        <v>135.4834834834835</v>
      </c>
      <c r="C199">
        <f t="shared" ca="1" si="10"/>
        <v>124.27462198610544</v>
      </c>
      <c r="D199">
        <f t="shared" ca="1" si="11"/>
        <v>205.75984380084606</v>
      </c>
    </row>
    <row r="200" spans="1:4" x14ac:dyDescent="0.25">
      <c r="A200" s="1">
        <v>45893</v>
      </c>
      <c r="B200">
        <f t="shared" ca="1" si="9"/>
        <v>134.76276276276275</v>
      </c>
      <c r="C200">
        <f t="shared" ca="1" si="10"/>
        <v>120.41275030649776</v>
      </c>
      <c r="D200">
        <f t="shared" ca="1" si="11"/>
        <v>213.34201106410674</v>
      </c>
    </row>
    <row r="201" spans="1:4" x14ac:dyDescent="0.25">
      <c r="A201" s="1">
        <v>45900</v>
      </c>
      <c r="B201">
        <f t="shared" ca="1" si="9"/>
        <v>134.65465465465465</v>
      </c>
      <c r="C201">
        <f t="shared" ca="1" si="10"/>
        <v>119.90192071924805</v>
      </c>
      <c r="D201">
        <f t="shared" ca="1" si="11"/>
        <v>224.27595183859421</v>
      </c>
    </row>
    <row r="202" spans="1:4" x14ac:dyDescent="0.25">
      <c r="A202" s="1">
        <v>45907</v>
      </c>
      <c r="B202">
        <f t="shared" ca="1" si="9"/>
        <v>137.22522522522522</v>
      </c>
      <c r="C202">
        <f t="shared" ca="1" si="10"/>
        <v>122.02697180220679</v>
      </c>
      <c r="D202">
        <f t="shared" ca="1" si="11"/>
        <v>239.17995444191345</v>
      </c>
    </row>
    <row r="203" spans="1:4" x14ac:dyDescent="0.25">
      <c r="A203" s="1">
        <v>45914</v>
      </c>
      <c r="B203">
        <f t="shared" ca="1" si="9"/>
        <v>137.80180180180179</v>
      </c>
      <c r="C203">
        <f t="shared" ca="1" si="10"/>
        <v>122.29260318757665</v>
      </c>
      <c r="D203">
        <f t="shared" ca="1" si="11"/>
        <v>242.49918646273997</v>
      </c>
    </row>
    <row r="204" spans="1:4" x14ac:dyDescent="0.25">
      <c r="A204" s="1">
        <v>45921</v>
      </c>
      <c r="B204">
        <f t="shared" ca="1" si="9"/>
        <v>137.95795795795794</v>
      </c>
      <c r="C204">
        <f t="shared" ca="1" si="10"/>
        <v>122.72170004086638</v>
      </c>
      <c r="D204">
        <f t="shared" ca="1" si="11"/>
        <v>254.14904002603316</v>
      </c>
    </row>
    <row r="205" spans="1:4" x14ac:dyDescent="0.25">
      <c r="A205" s="1">
        <v>45928</v>
      </c>
      <c r="B205">
        <f t="shared" ca="1" si="9"/>
        <v>140.25225225225228</v>
      </c>
      <c r="C205">
        <f t="shared" ca="1" si="10"/>
        <v>125.84797711483451</v>
      </c>
      <c r="D205">
        <f t="shared" ca="1" si="11"/>
        <v>264.92027334851934</v>
      </c>
    </row>
    <row r="206" spans="1:4" x14ac:dyDescent="0.25">
      <c r="A206" s="1">
        <v>45935</v>
      </c>
      <c r="B206">
        <f t="shared" ca="1" si="9"/>
        <v>138.99099099099098</v>
      </c>
      <c r="C206">
        <f t="shared" ca="1" si="10"/>
        <v>123.25296281160605</v>
      </c>
      <c r="D206">
        <f t="shared" ca="1" si="11"/>
        <v>260.85258704848678</v>
      </c>
    </row>
    <row r="207" spans="1:4" x14ac:dyDescent="0.25">
      <c r="A207" s="1">
        <v>45942</v>
      </c>
      <c r="B207">
        <f t="shared" ca="1" si="9"/>
        <v>138.6906906906907</v>
      </c>
      <c r="C207">
        <f t="shared" ca="1" si="10"/>
        <v>127.1557008581937</v>
      </c>
      <c r="D207">
        <f t="shared" ca="1" si="11"/>
        <v>273.96680767979171</v>
      </c>
    </row>
    <row r="208" spans="1:4" x14ac:dyDescent="0.25">
      <c r="A208" s="1">
        <v>45949</v>
      </c>
      <c r="B208">
        <f t="shared" ca="1" si="9"/>
        <v>142.58258258258257</v>
      </c>
      <c r="C208">
        <f t="shared" ca="1" si="10"/>
        <v>127.95259501430323</v>
      </c>
      <c r="D208">
        <f t="shared" ca="1" si="11"/>
        <v>257.30556459485842</v>
      </c>
    </row>
    <row r="209" spans="1:4" x14ac:dyDescent="0.25">
      <c r="A209" s="1">
        <v>45956</v>
      </c>
      <c r="B209">
        <f t="shared" ca="1" si="9"/>
        <v>144.15615615615616</v>
      </c>
      <c r="C209">
        <f t="shared" ca="1" si="10"/>
        <v>126.46097261953413</v>
      </c>
      <c r="D209">
        <f t="shared" ca="1" si="11"/>
        <v>250.82980800520662</v>
      </c>
    </row>
    <row r="210" spans="1:4" x14ac:dyDescent="0.25">
      <c r="A210" s="1">
        <v>45963</v>
      </c>
      <c r="B210">
        <f t="shared" ca="1" si="9"/>
        <v>140.1081081081081</v>
      </c>
      <c r="C210">
        <f t="shared" ca="1" si="10"/>
        <v>123.78422558234574</v>
      </c>
      <c r="D210">
        <f t="shared" ca="1" si="11"/>
        <v>250.69964204360562</v>
      </c>
    </row>
    <row r="211" spans="1:4" x14ac:dyDescent="0.25">
      <c r="A211" s="1">
        <v>45970</v>
      </c>
      <c r="B211">
        <f t="shared" ca="1" si="9"/>
        <v>142.10210210210209</v>
      </c>
      <c r="C211">
        <f t="shared" ca="1" si="10"/>
        <v>127.21700040866367</v>
      </c>
      <c r="D211">
        <f t="shared" ca="1" si="11"/>
        <v>268.95541815815164</v>
      </c>
    </row>
    <row r="212" spans="1:4" x14ac:dyDescent="0.25">
      <c r="A212" s="1">
        <v>45977</v>
      </c>
      <c r="B212">
        <f t="shared" ca="1" si="9"/>
        <v>139.51951951951952</v>
      </c>
      <c r="C212">
        <f t="shared" ca="1" si="10"/>
        <v>124.4993870044953</v>
      </c>
      <c r="D212">
        <f t="shared" ca="1" si="11"/>
        <v>259.58346892287665</v>
      </c>
    </row>
    <row r="213" spans="1:4" x14ac:dyDescent="0.25">
      <c r="A213" s="1">
        <v>45984</v>
      </c>
      <c r="B213">
        <f t="shared" ca="1" si="9"/>
        <v>143.63963963963963</v>
      </c>
      <c r="C213">
        <f t="shared" ca="1" si="10"/>
        <v>126.72660400490399</v>
      </c>
      <c r="D213">
        <f t="shared" ca="1" si="11"/>
        <v>290.69313374552553</v>
      </c>
    </row>
    <row r="214" spans="1:4" x14ac:dyDescent="0.25">
      <c r="A214" s="1">
        <v>45991</v>
      </c>
      <c r="B214">
        <f t="shared" ca="1" si="9"/>
        <v>144.01201201201201</v>
      </c>
      <c r="C214">
        <f t="shared" ca="1" si="10"/>
        <v>126.42010625255415</v>
      </c>
      <c r="D214">
        <f t="shared" ca="1" si="11"/>
        <v>285.58411975268467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1406-6334-4F7B-85E3-EA683426FFC8}">
  <dimension ref="A1:D214"/>
  <sheetViews>
    <sheetView workbookViewId="0">
      <selection activeCell="C8" sqref="C8"/>
    </sheetView>
  </sheetViews>
  <sheetFormatPr baseColWidth="10" defaultRowHeight="15" x14ac:dyDescent="0.25"/>
  <cols>
    <col min="1" max="4" width="19.140625" customWidth="1"/>
  </cols>
  <sheetData>
    <row r="1" spans="1:4" ht="30" x14ac:dyDescent="0.25">
      <c r="A1" s="5" t="s">
        <v>0</v>
      </c>
      <c r="B1" s="5" t="s">
        <v>1513</v>
      </c>
      <c r="C1" s="5" t="s">
        <v>1514</v>
      </c>
      <c r="D1" s="5" t="s">
        <v>1515</v>
      </c>
    </row>
    <row r="2" spans="1:4" x14ac:dyDescent="0.25">
      <c r="A2" s="3">
        <v>44507</v>
      </c>
      <c r="B2" s="4"/>
      <c r="C2" s="4"/>
      <c r="D2" s="4"/>
    </row>
    <row r="3" spans="1:4" x14ac:dyDescent="0.25">
      <c r="A3" s="3">
        <v>44514</v>
      </c>
      <c r="B3" s="4">
        <v>1.2972972972972953E-2</v>
      </c>
      <c r="C3" s="4">
        <v>1.8389865140989664E-3</v>
      </c>
      <c r="D3" s="4">
        <v>-5.8574682720468505E-3</v>
      </c>
    </row>
    <row r="4" spans="1:4" x14ac:dyDescent="0.25">
      <c r="A4" s="3">
        <v>44521</v>
      </c>
      <c r="B4" s="4">
        <v>-3.0712676390371202E-2</v>
      </c>
      <c r="C4" s="4">
        <v>-4.8949622679991811E-2</v>
      </c>
      <c r="D4" s="4">
        <v>-6.7757774140752874E-2</v>
      </c>
    </row>
    <row r="5" spans="1:4" x14ac:dyDescent="0.25">
      <c r="A5" s="3">
        <v>44528</v>
      </c>
      <c r="B5" s="4">
        <v>-1.186689503303155E-2</v>
      </c>
      <c r="C5" s="4">
        <v>1.28672528415173E-3</v>
      </c>
      <c r="D5" s="4">
        <v>-3.4410112359550576E-2</v>
      </c>
    </row>
    <row r="6" spans="1:4" x14ac:dyDescent="0.25">
      <c r="A6" s="3">
        <v>44535</v>
      </c>
      <c r="B6" s="4">
        <v>2.8723535966324223E-2</v>
      </c>
      <c r="C6" s="4">
        <v>3.1698436496037784E-2</v>
      </c>
      <c r="D6" s="4">
        <v>-1.4181818181818202E-2</v>
      </c>
    </row>
    <row r="7" spans="1:4" x14ac:dyDescent="0.25">
      <c r="A7" s="3">
        <v>44542</v>
      </c>
      <c r="B7" s="4">
        <v>-4.5733541942473178E-3</v>
      </c>
      <c r="C7" s="4">
        <v>-9.9647083246834946E-3</v>
      </c>
      <c r="D7" s="4">
        <v>4.2050903725562548E-2</v>
      </c>
    </row>
    <row r="8" spans="1:4" x14ac:dyDescent="0.25">
      <c r="A8" s="3">
        <v>44549</v>
      </c>
      <c r="B8" s="4">
        <v>1.5596663039535804E-2</v>
      </c>
      <c r="C8" s="4">
        <v>2.6630320821975324E-2</v>
      </c>
      <c r="D8" s="4">
        <v>7.0796460176990898E-3</v>
      </c>
    </row>
    <row r="9" spans="1:4" x14ac:dyDescent="0.25">
      <c r="A9" s="3">
        <v>44556</v>
      </c>
      <c r="B9" s="4">
        <v>1.0476190476190422E-2</v>
      </c>
      <c r="C9" s="4">
        <v>1.0416666666666626E-2</v>
      </c>
      <c r="D9" s="4">
        <v>-7.0298769771527506E-4</v>
      </c>
    </row>
    <row r="10" spans="1:4" x14ac:dyDescent="0.25">
      <c r="A10" s="3">
        <v>44563</v>
      </c>
      <c r="B10" s="4">
        <v>-2.2031102733270386E-2</v>
      </c>
      <c r="C10" s="4">
        <v>5.0535678188801296E-3</v>
      </c>
      <c r="D10" s="4">
        <v>-3.6932817446359505E-2</v>
      </c>
    </row>
    <row r="11" spans="1:4" x14ac:dyDescent="0.25">
      <c r="A11" s="3">
        <v>44570</v>
      </c>
      <c r="B11" s="4">
        <v>-1.3010480664980102E-2</v>
      </c>
      <c r="C11" s="4">
        <v>-9.8551890587289213E-3</v>
      </c>
      <c r="D11" s="4">
        <v>2.483564645726807E-2</v>
      </c>
    </row>
    <row r="12" spans="1:4" x14ac:dyDescent="0.25">
      <c r="A12" s="3">
        <v>44577</v>
      </c>
      <c r="B12" s="4">
        <v>-2.2458196020993571E-2</v>
      </c>
      <c r="C12" s="4">
        <v>-9.5470241722526682E-3</v>
      </c>
      <c r="D12" s="4">
        <v>4.7398431931575266E-2</v>
      </c>
    </row>
    <row r="13" spans="1:4" x14ac:dyDescent="0.25">
      <c r="A13" s="3">
        <v>44584</v>
      </c>
      <c r="B13" s="4">
        <v>-1.6231739293295008E-2</v>
      </c>
      <c r="C13" s="4">
        <v>-1.5381460213289582E-2</v>
      </c>
      <c r="D13" s="4">
        <v>-9.765226267437907E-2</v>
      </c>
    </row>
    <row r="14" spans="1:4" x14ac:dyDescent="0.25">
      <c r="A14" s="3">
        <v>44591</v>
      </c>
      <c r="B14" s="4">
        <v>1.7768752379743694E-3</v>
      </c>
      <c r="C14" s="4">
        <v>-1.8746094563631807E-3</v>
      </c>
      <c r="D14" s="4">
        <v>2.5263951734540036E-2</v>
      </c>
    </row>
    <row r="15" spans="1:4" x14ac:dyDescent="0.25">
      <c r="A15" s="3">
        <v>44598</v>
      </c>
      <c r="B15" s="4">
        <v>1.0769035854554595E-2</v>
      </c>
      <c r="C15" s="4">
        <v>7.7212020033388448E-3</v>
      </c>
      <c r="D15" s="4">
        <v>3.8617138653916777E-2</v>
      </c>
    </row>
    <row r="16" spans="1:4" x14ac:dyDescent="0.25">
      <c r="A16" s="3">
        <v>44605</v>
      </c>
      <c r="B16" s="4">
        <v>-2.0681875156680945E-2</v>
      </c>
      <c r="C16" s="4">
        <v>-1.1389521640091058E-2</v>
      </c>
      <c r="D16" s="4">
        <v>0.10764872521246469</v>
      </c>
    </row>
    <row r="17" spans="1:4" x14ac:dyDescent="0.25">
      <c r="A17" s="3">
        <v>44612</v>
      </c>
      <c r="B17" s="4">
        <v>2.9438115960579033E-3</v>
      </c>
      <c r="C17" s="4">
        <v>-2.5345622119815683E-2</v>
      </c>
      <c r="D17" s="4">
        <v>-2.7493606138107397E-2</v>
      </c>
    </row>
    <row r="18" spans="1:4" x14ac:dyDescent="0.25">
      <c r="A18" s="3">
        <v>44619</v>
      </c>
      <c r="B18" s="4">
        <v>-2.0418580908626413E-3</v>
      </c>
      <c r="C18" s="4">
        <v>-0.10122501611863316</v>
      </c>
      <c r="D18" s="4">
        <v>0.1120973044049966</v>
      </c>
    </row>
    <row r="19" spans="1:4" x14ac:dyDescent="0.25">
      <c r="A19" s="3">
        <v>44626</v>
      </c>
      <c r="B19" s="4">
        <v>-7.1611253196931235E-3</v>
      </c>
      <c r="C19" s="4">
        <v>3.6107125777140078E-2</v>
      </c>
      <c r="D19" s="4">
        <v>3.8131835648832373E-2</v>
      </c>
    </row>
    <row r="20" spans="1:4" x14ac:dyDescent="0.25">
      <c r="A20" s="3">
        <v>44633</v>
      </c>
      <c r="B20" s="4">
        <v>3.7609479649665142E-2</v>
      </c>
      <c r="C20" s="4">
        <v>5.815831987075936E-2</v>
      </c>
      <c r="D20" s="4">
        <v>-4.1002277904327956E-2</v>
      </c>
    </row>
    <row r="21" spans="1:4" x14ac:dyDescent="0.25">
      <c r="A21" s="3">
        <v>44640</v>
      </c>
      <c r="B21" s="4">
        <v>1.9985104270109227E-2</v>
      </c>
      <c r="C21" s="4">
        <v>-9.8146128680480435E-3</v>
      </c>
      <c r="D21" s="4">
        <v>4.2161520190023803E-2</v>
      </c>
    </row>
    <row r="22" spans="1:4" x14ac:dyDescent="0.25">
      <c r="A22" s="3">
        <v>44647</v>
      </c>
      <c r="B22" s="4">
        <v>-3.6509675063893315E-4</v>
      </c>
      <c r="C22" s="4">
        <v>1.7841409691630006E-2</v>
      </c>
      <c r="D22" s="4">
        <v>-1.709401709401774E-3</v>
      </c>
    </row>
    <row r="23" spans="1:4" x14ac:dyDescent="0.25">
      <c r="A23" s="3">
        <v>44654</v>
      </c>
      <c r="B23" s="4">
        <v>6.9393718042365859E-3</v>
      </c>
      <c r="C23" s="4">
        <v>-1.8610690326769087E-2</v>
      </c>
      <c r="D23" s="4">
        <v>3.2534246575342485E-2</v>
      </c>
    </row>
    <row r="24" spans="1:4" x14ac:dyDescent="0.25">
      <c r="A24" s="3">
        <v>44661</v>
      </c>
      <c r="B24" s="4">
        <v>-7.4960706081488382E-3</v>
      </c>
      <c r="C24" s="4">
        <v>6.6152149944872576E-3</v>
      </c>
      <c r="D24" s="4">
        <v>1.6583747927031548E-2</v>
      </c>
    </row>
    <row r="25" spans="1:4" x14ac:dyDescent="0.25">
      <c r="A25" s="3">
        <v>44668</v>
      </c>
      <c r="B25" s="4">
        <v>-2.1318065537824338E-2</v>
      </c>
      <c r="C25" s="4">
        <v>0</v>
      </c>
      <c r="D25" s="4">
        <v>-8.6460032626427402E-2</v>
      </c>
    </row>
    <row r="26" spans="1:4" x14ac:dyDescent="0.25">
      <c r="A26" s="3">
        <v>44675</v>
      </c>
      <c r="B26" s="4">
        <v>1.2447099825729281E-4</v>
      </c>
      <c r="C26" s="4">
        <v>-2.4096385542168551E-3</v>
      </c>
      <c r="D26" s="4">
        <v>-9.5238095238095316E-3</v>
      </c>
    </row>
    <row r="27" spans="1:4" x14ac:dyDescent="0.25">
      <c r="A27" s="3">
        <v>44682</v>
      </c>
      <c r="B27" s="4">
        <v>-3.2607342874922098E-2</v>
      </c>
      <c r="C27" s="4">
        <v>-3.601229688186211E-2</v>
      </c>
      <c r="D27" s="4">
        <v>-4.5973557692307723E-2</v>
      </c>
    </row>
    <row r="28" spans="1:4" x14ac:dyDescent="0.25">
      <c r="A28" s="3">
        <v>44689</v>
      </c>
      <c r="B28" s="4">
        <v>-4.245465071400981E-3</v>
      </c>
      <c r="C28" s="4">
        <v>1.5034168564920358E-2</v>
      </c>
      <c r="D28" s="4">
        <v>-8.3779527559055128E-2</v>
      </c>
    </row>
    <row r="29" spans="1:4" x14ac:dyDescent="0.25">
      <c r="A29" s="3">
        <v>44696</v>
      </c>
      <c r="B29" s="4">
        <v>-3.5142118863049077E-2</v>
      </c>
      <c r="C29" s="4">
        <v>-8.7522441651705692E-3</v>
      </c>
      <c r="D29" s="4">
        <v>1.6156754898590541E-2</v>
      </c>
    </row>
    <row r="30" spans="1:4" x14ac:dyDescent="0.25">
      <c r="A30" s="3">
        <v>44703</v>
      </c>
      <c r="B30" s="4">
        <v>4.2313872522763744E-2</v>
      </c>
      <c r="C30" s="4">
        <v>4.0751641385555738E-2</v>
      </c>
      <c r="D30" s="4">
        <v>-3.7212449255750826E-3</v>
      </c>
    </row>
    <row r="31" spans="1:4" x14ac:dyDescent="0.25">
      <c r="A31" s="3">
        <v>44710</v>
      </c>
      <c r="B31" s="4">
        <v>-5.395683453237432E-3</v>
      </c>
      <c r="C31" s="4">
        <v>-5.220796171416184E-3</v>
      </c>
      <c r="D31" s="4">
        <v>-5.7724957555177646E-3</v>
      </c>
    </row>
    <row r="32" spans="1:4" x14ac:dyDescent="0.25">
      <c r="A32" s="3">
        <v>44717</v>
      </c>
      <c r="B32" s="4">
        <v>-3.2420563161973719E-2</v>
      </c>
      <c r="C32" s="4">
        <v>-4.351629127487415E-2</v>
      </c>
      <c r="D32" s="4">
        <v>-1.297814207650282E-2</v>
      </c>
    </row>
    <row r="33" spans="1:4" x14ac:dyDescent="0.25">
      <c r="A33" s="3">
        <v>44724</v>
      </c>
      <c r="B33" s="4">
        <v>-5.3130423174475902E-2</v>
      </c>
      <c r="C33" s="4">
        <v>-4.8239597622313654E-2</v>
      </c>
      <c r="D33" s="4">
        <v>-3.2525951557093348E-2</v>
      </c>
    </row>
    <row r="34" spans="1:4" x14ac:dyDescent="0.25">
      <c r="A34" s="3">
        <v>44731</v>
      </c>
      <c r="B34" s="4">
        <v>4.1731284364866679E-2</v>
      </c>
      <c r="C34" s="4">
        <v>3.2908959884698469E-2</v>
      </c>
      <c r="D34" s="4">
        <v>-4.6494992846924203E-2</v>
      </c>
    </row>
    <row r="35" spans="1:4" x14ac:dyDescent="0.25">
      <c r="A35" s="3">
        <v>44738</v>
      </c>
      <c r="B35" s="4">
        <v>-1.0285559615644946E-2</v>
      </c>
      <c r="C35" s="4">
        <v>-2.1627906976744181E-2</v>
      </c>
      <c r="D35" s="4">
        <v>-5.4388597149287295E-2</v>
      </c>
    </row>
    <row r="36" spans="1:4" x14ac:dyDescent="0.25">
      <c r="A36" s="3">
        <v>44745</v>
      </c>
      <c r="B36" s="4">
        <v>4.9227403254478448E-2</v>
      </c>
      <c r="C36" s="4">
        <v>1.8065129545994724E-2</v>
      </c>
      <c r="D36" s="4">
        <v>-8.3300277667592553E-3</v>
      </c>
    </row>
    <row r="37" spans="1:4" x14ac:dyDescent="0.25">
      <c r="A37" s="3">
        <v>44752</v>
      </c>
      <c r="B37" s="4">
        <v>-8.3409357487293171E-3</v>
      </c>
      <c r="C37" s="4">
        <v>3.9691804809713219E-3</v>
      </c>
      <c r="D37" s="4">
        <v>-6.6400000000000001E-2</v>
      </c>
    </row>
    <row r="38" spans="1:4" x14ac:dyDescent="0.25">
      <c r="A38" s="3">
        <v>44759</v>
      </c>
      <c r="B38" s="4">
        <v>2.0502037061374719E-2</v>
      </c>
      <c r="C38" s="4">
        <v>2.7906976744186112E-2</v>
      </c>
      <c r="D38" s="4">
        <v>1.3710368466152541E-2</v>
      </c>
    </row>
    <row r="39" spans="1:4" x14ac:dyDescent="0.25">
      <c r="A39" s="3">
        <v>44766</v>
      </c>
      <c r="B39" s="4">
        <v>3.142305215711523E-2</v>
      </c>
      <c r="C39" s="4">
        <v>3.5972850678732946E-2</v>
      </c>
      <c r="D39" s="4">
        <v>1.310228233305151E-2</v>
      </c>
    </row>
    <row r="40" spans="1:4" x14ac:dyDescent="0.25">
      <c r="A40" s="3">
        <v>44773</v>
      </c>
      <c r="B40" s="4">
        <v>6.7424147833686108E-3</v>
      </c>
      <c r="C40" s="4">
        <v>2.1838829438742395E-3</v>
      </c>
      <c r="D40" s="4">
        <v>-5.423445974134293E-3</v>
      </c>
    </row>
    <row r="41" spans="1:4" x14ac:dyDescent="0.25">
      <c r="A41" s="3">
        <v>44780</v>
      </c>
      <c r="B41" s="4">
        <v>2.095994046880811E-2</v>
      </c>
      <c r="C41" s="4">
        <v>1.2638919154499854E-2</v>
      </c>
      <c r="D41" s="4">
        <v>4.9496644295302004E-2</v>
      </c>
    </row>
    <row r="42" spans="1:4" x14ac:dyDescent="0.25">
      <c r="A42" s="3">
        <v>44787</v>
      </c>
      <c r="B42" s="4">
        <v>9.8396501457726233E-3</v>
      </c>
      <c r="C42" s="4">
        <v>-8.82289649236059E-3</v>
      </c>
      <c r="D42" s="4">
        <v>-4.8361310951239043E-2</v>
      </c>
    </row>
    <row r="43" spans="1:4" x14ac:dyDescent="0.25">
      <c r="A43" s="3">
        <v>44794</v>
      </c>
      <c r="B43" s="4">
        <v>-1.960784313725485E-2</v>
      </c>
      <c r="C43" s="4">
        <v>-3.4737299174989175E-2</v>
      </c>
      <c r="D43" s="4">
        <v>-1.3859722805543819E-2</v>
      </c>
    </row>
    <row r="44" spans="1:4" x14ac:dyDescent="0.25">
      <c r="A44" s="3">
        <v>44801</v>
      </c>
      <c r="B44" s="4">
        <v>-2.8098159509202532E-2</v>
      </c>
      <c r="C44" s="4">
        <v>-1.574448942870002E-2</v>
      </c>
      <c r="D44" s="4">
        <v>-4.6422487223168649E-2</v>
      </c>
    </row>
    <row r="45" spans="1:4" x14ac:dyDescent="0.25">
      <c r="A45" s="3">
        <v>44808</v>
      </c>
      <c r="B45" s="4">
        <v>1.060472162605736E-2</v>
      </c>
      <c r="C45" s="4">
        <v>6.6270566727604924E-3</v>
      </c>
      <c r="D45" s="4">
        <v>4.1983028137561308E-2</v>
      </c>
    </row>
    <row r="46" spans="1:4" x14ac:dyDescent="0.25">
      <c r="A46" s="3">
        <v>44815</v>
      </c>
      <c r="B46" s="4">
        <v>-4.2723297938788284E-2</v>
      </c>
      <c r="C46" s="4">
        <v>-2.4290578887627704E-2</v>
      </c>
      <c r="D46" s="4">
        <v>-4.6292327475353549E-2</v>
      </c>
    </row>
    <row r="47" spans="1:4" x14ac:dyDescent="0.25">
      <c r="A47" s="3">
        <v>44822</v>
      </c>
      <c r="B47" s="4">
        <v>-1.9574579146548352E-2</v>
      </c>
      <c r="C47" s="4">
        <v>-4.9092601209865042E-2</v>
      </c>
      <c r="D47" s="4">
        <v>-3.8202247191011299E-2</v>
      </c>
    </row>
    <row r="48" spans="1:4" x14ac:dyDescent="0.25">
      <c r="A48" s="3">
        <v>44829</v>
      </c>
      <c r="B48" s="4">
        <v>-1.3443364834287114E-2</v>
      </c>
      <c r="C48" s="4">
        <v>-2.6914607291411655E-3</v>
      </c>
      <c r="D48" s="4">
        <v>9.6728971962616844E-2</v>
      </c>
    </row>
    <row r="49" spans="1:4" x14ac:dyDescent="0.25">
      <c r="A49" s="3">
        <v>44836</v>
      </c>
      <c r="B49" s="4">
        <v>6.8807339449540057E-3</v>
      </c>
      <c r="C49" s="4">
        <v>1.8400392541707559E-2</v>
      </c>
      <c r="D49" s="4">
        <v>2.8973157221985502E-2</v>
      </c>
    </row>
    <row r="50" spans="1:4" x14ac:dyDescent="0.25">
      <c r="A50" s="3">
        <v>44843</v>
      </c>
      <c r="B50" s="4">
        <v>-1.1523516012327475E-2</v>
      </c>
      <c r="C50" s="4">
        <v>9.8771380390268292E-3</v>
      </c>
      <c r="D50" s="4">
        <v>-9.2339544513457439E-2</v>
      </c>
    </row>
    <row r="51" spans="1:4" x14ac:dyDescent="0.25">
      <c r="A51" s="3">
        <v>44850</v>
      </c>
      <c r="B51" s="4">
        <v>1.3555645926528399E-2</v>
      </c>
      <c r="C51" s="4">
        <v>1.6221374045801519E-2</v>
      </c>
      <c r="D51" s="4">
        <v>2.4635036496350324E-2</v>
      </c>
    </row>
    <row r="52" spans="1:4" x14ac:dyDescent="0.25">
      <c r="A52" s="3">
        <v>44857</v>
      </c>
      <c r="B52" s="4">
        <v>2.8219874281128789E-2</v>
      </c>
      <c r="C52" s="4">
        <v>3.8967136150234657E-2</v>
      </c>
      <c r="D52" s="4">
        <v>1.9590382902938457E-2</v>
      </c>
    </row>
    <row r="53" spans="1:4" x14ac:dyDescent="0.25">
      <c r="A53" s="3">
        <v>44864</v>
      </c>
      <c r="B53" s="4">
        <v>-1.7039542143600445E-2</v>
      </c>
      <c r="C53" s="4">
        <v>2.1915951197469474E-2</v>
      </c>
      <c r="D53" s="4">
        <v>1.0480349344978254E-2</v>
      </c>
    </row>
    <row r="54" spans="1:4" x14ac:dyDescent="0.25">
      <c r="A54" s="3">
        <v>44871</v>
      </c>
      <c r="B54" s="4">
        <v>2.3554320497551955E-2</v>
      </c>
      <c r="C54" s="4">
        <v>3.0289630776033707E-2</v>
      </c>
      <c r="D54" s="4">
        <v>0.12316335350043206</v>
      </c>
    </row>
    <row r="55" spans="1:4" x14ac:dyDescent="0.25">
      <c r="A55" s="3">
        <v>44878</v>
      </c>
      <c r="B55" s="4">
        <v>-1.5513897866837796E-3</v>
      </c>
      <c r="C55" s="4">
        <v>4.5064377682403614E-3</v>
      </c>
      <c r="D55" s="4">
        <v>-4.3478260869565181E-2</v>
      </c>
    </row>
    <row r="56" spans="1:4" x14ac:dyDescent="0.25">
      <c r="A56" s="3">
        <v>44885</v>
      </c>
      <c r="B56" s="4">
        <v>1.4243169752686705E-2</v>
      </c>
      <c r="C56" s="4">
        <v>1.1749626148258857E-2</v>
      </c>
      <c r="D56" s="4">
        <v>5.0281576830249398E-2</v>
      </c>
    </row>
    <row r="57" spans="1:4" x14ac:dyDescent="0.25">
      <c r="A57" s="3">
        <v>44892</v>
      </c>
      <c r="B57" s="4">
        <v>-2.0426401123451628E-3</v>
      </c>
      <c r="C57" s="4">
        <v>5.7010135135135793E-3</v>
      </c>
      <c r="D57" s="4">
        <v>3.6767522022213742E-2</v>
      </c>
    </row>
    <row r="58" spans="1:4" x14ac:dyDescent="0.25">
      <c r="A58" s="3">
        <v>44899</v>
      </c>
      <c r="B58" s="4">
        <v>-2.0084431367532397E-2</v>
      </c>
      <c r="C58" s="4">
        <v>-8.6080201553643439E-3</v>
      </c>
      <c r="D58" s="4">
        <v>9.6047284817140002E-3</v>
      </c>
    </row>
    <row r="59" spans="1:4" x14ac:dyDescent="0.25">
      <c r="A59" s="3">
        <v>44906</v>
      </c>
      <c r="B59" s="4">
        <v>-3.4725848563968625E-2</v>
      </c>
      <c r="C59" s="4">
        <v>-3.4095722151630654E-2</v>
      </c>
      <c r="D59" s="4">
        <v>-5.8177826564215149E-2</v>
      </c>
    </row>
    <row r="60" spans="1:4" x14ac:dyDescent="0.25">
      <c r="A60" s="3">
        <v>44913</v>
      </c>
      <c r="B60" s="4">
        <v>-2.8401406545847138E-3</v>
      </c>
      <c r="C60" s="4">
        <v>8.3315062486297425E-3</v>
      </c>
      <c r="D60" s="4">
        <v>4.2735042735042791E-2</v>
      </c>
    </row>
    <row r="61" spans="1:4" x14ac:dyDescent="0.25">
      <c r="A61" s="3">
        <v>44920</v>
      </c>
      <c r="B61" s="4">
        <v>-5.2895700528957082E-3</v>
      </c>
      <c r="C61" s="4">
        <v>2.1743857360296023E-3</v>
      </c>
      <c r="D61" s="4">
        <v>-1.5648286140089351E-2</v>
      </c>
    </row>
    <row r="62" spans="1:4" x14ac:dyDescent="0.25">
      <c r="A62" s="3">
        <v>44927</v>
      </c>
      <c r="B62" s="4">
        <v>2.3179710935369548E-2</v>
      </c>
      <c r="C62" s="4">
        <v>5.0119331742243325E-2</v>
      </c>
      <c r="D62" s="4">
        <v>0.10976532929598783</v>
      </c>
    </row>
    <row r="63" spans="1:4" x14ac:dyDescent="0.25">
      <c r="A63" s="3">
        <v>44934</v>
      </c>
      <c r="B63" s="4">
        <v>1.0261194029850693E-2</v>
      </c>
      <c r="C63" s="4">
        <v>2.4793388429752126E-2</v>
      </c>
      <c r="D63" s="4">
        <v>1.4324693042291888E-2</v>
      </c>
    </row>
    <row r="64" spans="1:4" x14ac:dyDescent="0.25">
      <c r="A64" s="3">
        <v>44941</v>
      </c>
      <c r="B64" s="4">
        <v>-5.935892362485198E-3</v>
      </c>
      <c r="C64" s="4">
        <v>-3.2258064516129778E-3</v>
      </c>
      <c r="D64" s="4">
        <v>-1.8493611297915172E-2</v>
      </c>
    </row>
    <row r="65" spans="1:4" x14ac:dyDescent="0.25">
      <c r="A65" s="3">
        <v>44948</v>
      </c>
      <c r="B65" s="4">
        <v>2.6273885350318524E-2</v>
      </c>
      <c r="C65" s="4">
        <v>1.4967637540453115E-2</v>
      </c>
      <c r="D65" s="4">
        <v>4.7961630695442618E-3</v>
      </c>
    </row>
    <row r="66" spans="1:4" x14ac:dyDescent="0.25">
      <c r="A66" s="3">
        <v>44955</v>
      </c>
      <c r="B66" s="4">
        <v>2.3532454098784499E-2</v>
      </c>
      <c r="C66" s="4">
        <v>1.8333997608609043E-2</v>
      </c>
      <c r="D66" s="4">
        <v>-6.5802932151380833E-2</v>
      </c>
    </row>
    <row r="67" spans="1:4" x14ac:dyDescent="0.25">
      <c r="A67" s="3">
        <v>44962</v>
      </c>
      <c r="B67" s="4">
        <v>-8.2112177867608837E-3</v>
      </c>
      <c r="C67" s="4">
        <v>-1.5264187866927615E-2</v>
      </c>
      <c r="D67" s="4">
        <v>7.2992700729938419E-4</v>
      </c>
    </row>
    <row r="68" spans="1:4" x14ac:dyDescent="0.25">
      <c r="A68" s="3">
        <v>44969</v>
      </c>
      <c r="B68" s="4">
        <v>-2.4200738759395228E-3</v>
      </c>
      <c r="C68" s="4">
        <v>2.9809220985691574E-2</v>
      </c>
      <c r="D68" s="4">
        <v>-6.3092633114514962E-2</v>
      </c>
    </row>
    <row r="69" spans="1:4" x14ac:dyDescent="0.25">
      <c r="A69" s="3">
        <v>44976</v>
      </c>
      <c r="B69" s="4">
        <v>-1.3917262512767994E-2</v>
      </c>
      <c r="C69" s="4">
        <v>-2.1999228097259755E-2</v>
      </c>
      <c r="D69" s="4">
        <v>-4.3207473725185012E-2</v>
      </c>
    </row>
    <row r="70" spans="1:4" x14ac:dyDescent="0.25">
      <c r="A70" s="3">
        <v>44983</v>
      </c>
      <c r="B70" s="4">
        <v>1.3077819500194106E-2</v>
      </c>
      <c r="C70" s="4">
        <v>2.0126282557221844E-2</v>
      </c>
      <c r="D70" s="4">
        <v>5.2888527257933311E-2</v>
      </c>
    </row>
    <row r="71" spans="1:4" x14ac:dyDescent="0.25">
      <c r="A71" s="3">
        <v>44990</v>
      </c>
      <c r="B71" s="4">
        <v>-2.530674846625754E-2</v>
      </c>
      <c r="C71" s="4">
        <v>-1.5667311411992305E-2</v>
      </c>
      <c r="D71" s="4">
        <v>-3.5935085007727963E-2</v>
      </c>
    </row>
    <row r="72" spans="1:4" x14ac:dyDescent="0.25">
      <c r="A72" s="3">
        <v>44997</v>
      </c>
      <c r="B72" s="4">
        <v>-1.2719643325465498E-2</v>
      </c>
      <c r="C72" s="4">
        <v>-3.9496954214973436E-2</v>
      </c>
      <c r="D72" s="4">
        <v>0.10260521042084178</v>
      </c>
    </row>
    <row r="73" spans="1:4" x14ac:dyDescent="0.25">
      <c r="A73" s="3">
        <v>45004</v>
      </c>
      <c r="B73" s="4">
        <v>2.6563952716158876E-4</v>
      </c>
      <c r="C73" s="4">
        <v>1.2888707037643114E-2</v>
      </c>
      <c r="D73" s="4">
        <v>5.0527081061432097E-2</v>
      </c>
    </row>
    <row r="74" spans="1:4" x14ac:dyDescent="0.25">
      <c r="A74" s="3">
        <v>45011</v>
      </c>
      <c r="B74" s="4">
        <v>2.9876510423582525E-2</v>
      </c>
      <c r="C74" s="4">
        <v>4.2617652999394053E-2</v>
      </c>
      <c r="D74" s="4">
        <v>2.3183391003460268E-2</v>
      </c>
    </row>
    <row r="75" spans="1:4" x14ac:dyDescent="0.25">
      <c r="A75" s="3">
        <v>45018</v>
      </c>
      <c r="B75" s="4">
        <v>-4.6415678184631177E-3</v>
      </c>
      <c r="C75" s="4">
        <v>1.5497869043007634E-3</v>
      </c>
      <c r="D75" s="4">
        <v>5.6137977680081171E-2</v>
      </c>
    </row>
    <row r="76" spans="1:4" x14ac:dyDescent="0.25">
      <c r="A76" s="3">
        <v>45025</v>
      </c>
      <c r="B76" s="4">
        <v>8.0310880829014292E-3</v>
      </c>
      <c r="C76" s="4">
        <v>2.4177949709864602E-2</v>
      </c>
      <c r="D76" s="4">
        <v>1.280819724623732E-3</v>
      </c>
    </row>
    <row r="77" spans="1:4" x14ac:dyDescent="0.25">
      <c r="A77" s="3">
        <v>45032</v>
      </c>
      <c r="B77" s="4">
        <v>1.1565150346954951E-3</v>
      </c>
      <c r="C77" s="4">
        <v>8.8762983947119709E-3</v>
      </c>
      <c r="D77" s="4">
        <v>-2.462424048608889E-2</v>
      </c>
    </row>
    <row r="78" spans="1:4" x14ac:dyDescent="0.25">
      <c r="A78" s="3">
        <v>45039</v>
      </c>
      <c r="B78" s="4">
        <v>-1.7969451931716157E-3</v>
      </c>
      <c r="C78" s="4">
        <v>-3.5567203294647105E-3</v>
      </c>
      <c r="D78" s="4">
        <v>3.2786885245902103E-3</v>
      </c>
    </row>
    <row r="79" spans="1:4" x14ac:dyDescent="0.25">
      <c r="A79" s="3">
        <v>45046</v>
      </c>
      <c r="B79" s="4">
        <v>-1.9287643050018193E-3</v>
      </c>
      <c r="C79" s="4">
        <v>-6.5752395265826474E-3</v>
      </c>
      <c r="D79" s="4">
        <v>4.967320261437895E-2</v>
      </c>
    </row>
    <row r="80" spans="1:4" x14ac:dyDescent="0.25">
      <c r="A80" s="3">
        <v>45053</v>
      </c>
      <c r="B80" s="4">
        <v>1.1466116980159759E-2</v>
      </c>
      <c r="C80" s="4">
        <v>7.5642965204234392E-4</v>
      </c>
      <c r="D80" s="4">
        <v>-4.2341220423412082E-2</v>
      </c>
    </row>
    <row r="81" spans="1:4" x14ac:dyDescent="0.25">
      <c r="A81" s="3">
        <v>45060</v>
      </c>
      <c r="B81" s="4">
        <v>1.7704750987135403E-2</v>
      </c>
      <c r="C81" s="4">
        <v>1.0959939531368069E-2</v>
      </c>
      <c r="D81" s="4">
        <v>-2.6332899869961061E-2</v>
      </c>
    </row>
    <row r="82" spans="1:4" x14ac:dyDescent="0.25">
      <c r="A82" s="3">
        <v>45067</v>
      </c>
      <c r="B82" s="4">
        <v>4.7559449311638975E-3</v>
      </c>
      <c r="C82" s="4">
        <v>-1.9252336448598154E-2</v>
      </c>
      <c r="D82" s="4">
        <v>-6.1101836393989931E-2</v>
      </c>
    </row>
    <row r="83" spans="1:4" x14ac:dyDescent="0.25">
      <c r="A83" s="3">
        <v>45074</v>
      </c>
      <c r="B83" s="4">
        <v>1.5695067264574054E-2</v>
      </c>
      <c r="C83" s="4">
        <v>-1.7152658662091922E-3</v>
      </c>
      <c r="D83" s="4">
        <v>5.2275960170696974E-2</v>
      </c>
    </row>
    <row r="84" spans="1:4" x14ac:dyDescent="0.25">
      <c r="A84" s="3">
        <v>45081</v>
      </c>
      <c r="B84" s="4">
        <v>2.2075055187637063E-3</v>
      </c>
      <c r="C84" s="4">
        <v>-7.2546773577701895E-3</v>
      </c>
      <c r="D84" s="4">
        <v>-1.2166272389320698E-2</v>
      </c>
    </row>
    <row r="85" spans="1:4" x14ac:dyDescent="0.25">
      <c r="A85" s="3">
        <v>45088</v>
      </c>
      <c r="B85" s="4">
        <v>1.2604013705335305E-2</v>
      </c>
      <c r="C85" s="4">
        <v>2.3846153846153885E-2</v>
      </c>
      <c r="D85" s="4">
        <v>-1.436879917892582E-2</v>
      </c>
    </row>
    <row r="86" spans="1:4" x14ac:dyDescent="0.25">
      <c r="A86" s="3">
        <v>45095</v>
      </c>
      <c r="B86" s="4">
        <v>-1.873111782477338E-2</v>
      </c>
      <c r="C86" s="4">
        <v>-3.0240420736288492E-2</v>
      </c>
      <c r="D86" s="4">
        <v>-5.2412356820548352E-2</v>
      </c>
    </row>
    <row r="87" spans="1:4" x14ac:dyDescent="0.25">
      <c r="A87" s="3">
        <v>45102</v>
      </c>
      <c r="B87" s="4">
        <v>1.9088669950738879E-2</v>
      </c>
      <c r="C87" s="4">
        <v>3.1377106333526965E-2</v>
      </c>
      <c r="D87" s="4">
        <v>-4.0293040293040081E-3</v>
      </c>
    </row>
    <row r="88" spans="1:4" x14ac:dyDescent="0.25">
      <c r="A88" s="3">
        <v>45109</v>
      </c>
      <c r="B88" s="4">
        <v>-1.389728096676744E-2</v>
      </c>
      <c r="C88" s="4">
        <v>-3.7746478873239397E-2</v>
      </c>
      <c r="D88" s="4">
        <v>-6.2522986392056527E-3</v>
      </c>
    </row>
    <row r="89" spans="1:4" x14ac:dyDescent="0.25">
      <c r="A89" s="3">
        <v>45116</v>
      </c>
      <c r="B89" s="4">
        <v>5.1470588235294334E-3</v>
      </c>
      <c r="C89" s="4">
        <v>3.6690085870413648E-2</v>
      </c>
      <c r="D89" s="4">
        <v>7.2538860103626979E-2</v>
      </c>
    </row>
    <row r="90" spans="1:4" x14ac:dyDescent="0.25">
      <c r="A90" s="3">
        <v>45123</v>
      </c>
      <c r="B90" s="4">
        <v>1.4996342355523093E-2</v>
      </c>
      <c r="C90" s="4">
        <v>7.1536144578313735E-3</v>
      </c>
      <c r="D90" s="4">
        <v>-1.6563146997929622E-2</v>
      </c>
    </row>
    <row r="91" spans="1:4" x14ac:dyDescent="0.25">
      <c r="A91" s="3">
        <v>45130</v>
      </c>
      <c r="B91" s="4">
        <v>1.6816816816816887E-2</v>
      </c>
      <c r="C91" s="4">
        <v>4.1121495327102594E-3</v>
      </c>
      <c r="D91" s="4">
        <v>-2.3508771929824621E-2</v>
      </c>
    </row>
    <row r="92" spans="1:4" x14ac:dyDescent="0.25">
      <c r="A92" s="3">
        <v>45137</v>
      </c>
      <c r="B92" s="4">
        <v>-1.7365623154164192E-2</v>
      </c>
      <c r="C92" s="4">
        <v>-2.2338049143708037E-2</v>
      </c>
      <c r="D92" s="4">
        <v>-4.8868127919511305E-2</v>
      </c>
    </row>
    <row r="93" spans="1:4" x14ac:dyDescent="0.25">
      <c r="A93" s="3">
        <v>45144</v>
      </c>
      <c r="B93" s="4">
        <v>-7.0930512142342314E-3</v>
      </c>
      <c r="C93" s="4">
        <v>3.4272658035034214E-3</v>
      </c>
      <c r="D93" s="4">
        <v>-1.7000377786172999E-2</v>
      </c>
    </row>
    <row r="94" spans="1:4" x14ac:dyDescent="0.25">
      <c r="A94" s="3">
        <v>45151</v>
      </c>
      <c r="B94" s="4">
        <v>-1.6709044678532625E-2</v>
      </c>
      <c r="C94" s="4">
        <v>-2.3908918406072201E-2</v>
      </c>
      <c r="D94" s="4">
        <v>-5.8416602613374315E-2</v>
      </c>
    </row>
    <row r="95" spans="1:4" x14ac:dyDescent="0.25">
      <c r="A95" s="3">
        <v>45158</v>
      </c>
      <c r="B95" s="4">
        <v>1.3175717276197605E-2</v>
      </c>
      <c r="C95" s="4">
        <v>9.1368584758942245E-3</v>
      </c>
      <c r="D95" s="4">
        <v>4.4897959183673529E-2</v>
      </c>
    </row>
    <row r="96" spans="1:4" x14ac:dyDescent="0.25">
      <c r="A96" s="3">
        <v>45165</v>
      </c>
      <c r="B96" s="4">
        <v>2.6981040350024292E-2</v>
      </c>
      <c r="C96" s="4">
        <v>9.8246965902524588E-3</v>
      </c>
      <c r="D96" s="4">
        <v>3.7890624999999956E-2</v>
      </c>
    </row>
    <row r="97" spans="1:4" x14ac:dyDescent="0.25">
      <c r="A97" s="3">
        <v>45172</v>
      </c>
      <c r="B97" s="4">
        <v>-2.8402366863904721E-3</v>
      </c>
      <c r="C97" s="4">
        <v>-8.7752766119801769E-3</v>
      </c>
      <c r="D97" s="4">
        <v>-2.2581859239744127E-2</v>
      </c>
    </row>
    <row r="98" spans="1:4" x14ac:dyDescent="0.25">
      <c r="A98" s="3">
        <v>45179</v>
      </c>
      <c r="B98" s="4">
        <v>7.5955376216472886E-3</v>
      </c>
      <c r="C98" s="4">
        <v>1.6166281755196233E-2</v>
      </c>
      <c r="D98" s="4">
        <v>4.3511744320369757E-2</v>
      </c>
    </row>
    <row r="99" spans="1:4" x14ac:dyDescent="0.25">
      <c r="A99" s="3">
        <v>45186</v>
      </c>
      <c r="B99" s="4">
        <v>-2.1790341578327543E-2</v>
      </c>
      <c r="C99" s="4">
        <v>-2.6704545454545391E-2</v>
      </c>
      <c r="D99" s="4">
        <v>-1.5498154981549878E-2</v>
      </c>
    </row>
    <row r="100" spans="1:4" x14ac:dyDescent="0.25">
      <c r="A100" s="3">
        <v>45193</v>
      </c>
      <c r="B100" s="4">
        <v>-2.7694160144491752E-3</v>
      </c>
      <c r="C100" s="4">
        <v>-7.5890251021599646E-3</v>
      </c>
      <c r="D100" s="4">
        <v>-7.42128935532234E-2</v>
      </c>
    </row>
    <row r="101" spans="1:4" x14ac:dyDescent="0.25">
      <c r="A101" s="3">
        <v>45200</v>
      </c>
      <c r="B101" s="4">
        <v>-1.0263221444095562E-2</v>
      </c>
      <c r="C101" s="4">
        <v>-9.9999999999999603E-3</v>
      </c>
      <c r="D101" s="4">
        <v>5.2631578947368021E-3</v>
      </c>
    </row>
    <row r="102" spans="1:4" x14ac:dyDescent="0.25">
      <c r="A102" s="3">
        <v>45207</v>
      </c>
      <c r="B102" s="4">
        <v>1.8177381969012991E-2</v>
      </c>
      <c r="C102" s="4">
        <v>-1.0893246187363918E-2</v>
      </c>
      <c r="D102" s="4">
        <v>0.10954490535642379</v>
      </c>
    </row>
    <row r="103" spans="1:4" x14ac:dyDescent="0.25">
      <c r="A103" s="3">
        <v>45214</v>
      </c>
      <c r="B103" s="4">
        <v>-3.2590462497004542E-2</v>
      </c>
      <c r="C103" s="4">
        <v>-2.5030036043251904E-2</v>
      </c>
      <c r="D103" s="4">
        <v>2.6497277676951012E-2</v>
      </c>
    </row>
    <row r="104" spans="1:4" x14ac:dyDescent="0.25">
      <c r="A104" s="3">
        <v>45221</v>
      </c>
      <c r="B104" s="4">
        <v>-1.857815209313847E-2</v>
      </c>
      <c r="C104" s="4">
        <v>-3.6968576709796616E-3</v>
      </c>
      <c r="D104" s="4">
        <v>-4.8444130127298479E-2</v>
      </c>
    </row>
    <row r="105" spans="1:4" x14ac:dyDescent="0.25">
      <c r="A105" s="3">
        <v>45228</v>
      </c>
      <c r="B105" s="4">
        <v>4.1393235739525511E-2</v>
      </c>
      <c r="C105" s="4">
        <v>3.7518037518037527E-2</v>
      </c>
      <c r="D105" s="4">
        <v>2.526941657376439E-2</v>
      </c>
    </row>
    <row r="106" spans="1:4" x14ac:dyDescent="0.25">
      <c r="A106" s="3">
        <v>45235</v>
      </c>
      <c r="B106" s="4">
        <v>2.1812893843917453E-3</v>
      </c>
      <c r="C106" s="4">
        <v>-1.9868865487776696E-4</v>
      </c>
      <c r="D106" s="4">
        <v>-7.7564334903950732E-2</v>
      </c>
    </row>
    <row r="107" spans="1:4" x14ac:dyDescent="0.25">
      <c r="A107" s="3">
        <v>45242</v>
      </c>
      <c r="B107" s="4">
        <v>1.5114873035066504E-2</v>
      </c>
      <c r="C107" s="4">
        <v>2.7424483306836299E-2</v>
      </c>
      <c r="D107" s="4">
        <v>2.8290766208251571E-2</v>
      </c>
    </row>
    <row r="108" spans="1:4" x14ac:dyDescent="0.25">
      <c r="A108" s="3">
        <v>45249</v>
      </c>
      <c r="B108" s="4">
        <v>6.6706372840977038E-3</v>
      </c>
      <c r="C108" s="4">
        <v>8.317214700193417E-3</v>
      </c>
      <c r="D108" s="4">
        <v>1.910584638899503E-2</v>
      </c>
    </row>
    <row r="109" spans="1:4" x14ac:dyDescent="0.25">
      <c r="A109" s="3">
        <v>45256</v>
      </c>
      <c r="B109" s="4">
        <v>1.2187906756596865E-2</v>
      </c>
      <c r="C109" s="4">
        <v>6.1384999040859445E-3</v>
      </c>
      <c r="D109" s="4">
        <v>0.103862017247844</v>
      </c>
    </row>
    <row r="110" spans="1:4" x14ac:dyDescent="0.25">
      <c r="A110" s="3">
        <v>45263</v>
      </c>
      <c r="B110" s="4">
        <v>1.2976385316810841E-2</v>
      </c>
      <c r="C110" s="4">
        <v>2.6692087702573853E-2</v>
      </c>
      <c r="D110" s="4">
        <v>-2.5135869565217458E-2</v>
      </c>
    </row>
    <row r="111" spans="1:4" x14ac:dyDescent="0.25">
      <c r="A111" s="3">
        <v>45270</v>
      </c>
      <c r="B111" s="4">
        <v>1.38488170802076E-2</v>
      </c>
      <c r="C111" s="4">
        <v>1.0956360259981361E-2</v>
      </c>
      <c r="D111" s="4">
        <v>2.3693379790940758E-2</v>
      </c>
    </row>
    <row r="112" spans="1:4" x14ac:dyDescent="0.25">
      <c r="A112" s="3">
        <v>45277</v>
      </c>
      <c r="B112" s="4">
        <v>9.1064314171898132E-4</v>
      </c>
      <c r="C112" s="4">
        <v>-3.4900808229242786E-3</v>
      </c>
      <c r="D112" s="4">
        <v>3.3015656909462301E-2</v>
      </c>
    </row>
    <row r="113" spans="1:4" x14ac:dyDescent="0.25">
      <c r="A113" s="3">
        <v>45284</v>
      </c>
      <c r="B113" s="4">
        <v>3.525531672921506E-3</v>
      </c>
      <c r="C113" s="4">
        <v>-9.2165898617506284E-4</v>
      </c>
      <c r="D113" s="4">
        <v>-3.3607907742998454E-2</v>
      </c>
    </row>
    <row r="114" spans="1:4" x14ac:dyDescent="0.25">
      <c r="A114" s="3">
        <v>45291</v>
      </c>
      <c r="B114" s="4">
        <v>-8.046237533998116E-3</v>
      </c>
      <c r="C114" s="4">
        <v>-1.9372693726937347E-2</v>
      </c>
      <c r="D114" s="4">
        <v>-4.1595635867712207E-2</v>
      </c>
    </row>
    <row r="115" spans="1:4" x14ac:dyDescent="0.25">
      <c r="A115" s="3">
        <v>45298</v>
      </c>
      <c r="B115" s="4">
        <v>1.2909859476750777E-2</v>
      </c>
      <c r="C115" s="4">
        <v>5.0799623706491654E-3</v>
      </c>
      <c r="D115" s="4">
        <v>-7.1149057274990856E-3</v>
      </c>
    </row>
    <row r="116" spans="1:4" x14ac:dyDescent="0.25">
      <c r="A116" s="3">
        <v>45305</v>
      </c>
      <c r="B116" s="4">
        <v>4.1732461087300313E-3</v>
      </c>
      <c r="C116" s="4">
        <v>-1.1793335829277472E-2</v>
      </c>
      <c r="D116" s="4">
        <v>-7.8108204944464341E-2</v>
      </c>
    </row>
    <row r="117" spans="1:4" x14ac:dyDescent="0.25">
      <c r="A117" s="3">
        <v>45312</v>
      </c>
      <c r="B117" s="4">
        <v>2.3475233067505374E-2</v>
      </c>
      <c r="C117" s="4">
        <v>3.7507103618109564E-2</v>
      </c>
      <c r="D117" s="4">
        <v>4.2751651768363694E-2</v>
      </c>
    </row>
    <row r="118" spans="1:4" x14ac:dyDescent="0.25">
      <c r="A118" s="3">
        <v>45319</v>
      </c>
      <c r="B118" s="4">
        <v>1.2401229148375718E-2</v>
      </c>
      <c r="C118" s="4">
        <v>-6.7555230965858047E-3</v>
      </c>
      <c r="D118" s="4">
        <v>-1.1181513231456424E-3</v>
      </c>
    </row>
    <row r="119" spans="1:4" x14ac:dyDescent="0.25">
      <c r="A119" s="3">
        <v>45326</v>
      </c>
      <c r="B119" s="4">
        <v>1.0298102981029841E-2</v>
      </c>
      <c r="C119" s="4">
        <v>5.330882352941161E-3</v>
      </c>
      <c r="D119" s="4">
        <v>-3.3955223880597019E-2</v>
      </c>
    </row>
    <row r="120" spans="1:4" x14ac:dyDescent="0.25">
      <c r="A120" s="3">
        <v>45333</v>
      </c>
      <c r="B120" s="4">
        <v>8.6909871244635426E-3</v>
      </c>
      <c r="C120" s="4">
        <v>1.4810751508502511E-2</v>
      </c>
      <c r="D120" s="4">
        <v>5.7937427578214976E-3</v>
      </c>
    </row>
    <row r="121" spans="1:4" x14ac:dyDescent="0.25">
      <c r="A121" s="3">
        <v>45340</v>
      </c>
      <c r="B121" s="4">
        <v>7.4460163812359176E-3</v>
      </c>
      <c r="C121" s="4">
        <v>2.4864864864864909E-2</v>
      </c>
      <c r="D121" s="4">
        <v>-2.0737327188940061E-2</v>
      </c>
    </row>
    <row r="122" spans="1:4" x14ac:dyDescent="0.25">
      <c r="A122" s="3">
        <v>45347</v>
      </c>
      <c r="B122" s="4">
        <v>4.5401752718826609E-3</v>
      </c>
      <c r="C122" s="4">
        <v>-4.5710267229255464E-3</v>
      </c>
      <c r="D122" s="4">
        <v>2.5490196078431317E-2</v>
      </c>
    </row>
    <row r="123" spans="1:4" x14ac:dyDescent="0.25">
      <c r="A123" s="3">
        <v>45354</v>
      </c>
      <c r="B123" s="4">
        <v>1.2612991381123035E-3</v>
      </c>
      <c r="C123" s="4">
        <v>9.3606499470152097E-3</v>
      </c>
      <c r="D123" s="4">
        <v>0.10478011472275343</v>
      </c>
    </row>
    <row r="124" spans="1:4" x14ac:dyDescent="0.25">
      <c r="A124" s="3">
        <v>45361</v>
      </c>
      <c r="B124" s="4">
        <v>-3.0442998110435256E-3</v>
      </c>
      <c r="C124" s="4">
        <v>1.6622922134733209E-2</v>
      </c>
      <c r="D124" s="4">
        <v>6.5766701280719183E-3</v>
      </c>
    </row>
    <row r="125" spans="1:4" x14ac:dyDescent="0.25">
      <c r="A125" s="3">
        <v>45368</v>
      </c>
      <c r="B125" s="4">
        <v>2.6639991576287259E-2</v>
      </c>
      <c r="C125" s="4">
        <v>-2.7538726333907692E-3</v>
      </c>
      <c r="D125" s="4">
        <v>6.1898211829437165E-3</v>
      </c>
    </row>
    <row r="126" spans="1:4" x14ac:dyDescent="0.25">
      <c r="A126" s="3">
        <v>45375</v>
      </c>
      <c r="B126" s="4">
        <v>5.2307692307692836E-3</v>
      </c>
      <c r="C126" s="4">
        <v>8.4570245081118742E-3</v>
      </c>
      <c r="D126" s="4">
        <v>6.4593301435406592E-2</v>
      </c>
    </row>
    <row r="127" spans="1:4" x14ac:dyDescent="0.25">
      <c r="A127" s="3">
        <v>45382</v>
      </c>
      <c r="B127" s="4">
        <v>-1.2855831037649271E-2</v>
      </c>
      <c r="C127" s="4">
        <v>-1.8141365736779092E-2</v>
      </c>
      <c r="D127" s="4">
        <v>6.8699839486356357E-2</v>
      </c>
    </row>
    <row r="128" spans="1:4" x14ac:dyDescent="0.25">
      <c r="A128" s="3">
        <v>45389</v>
      </c>
      <c r="B128" s="4">
        <v>7.6485788113694565E-3</v>
      </c>
      <c r="C128" s="4">
        <v>-7.3208994247863802E-3</v>
      </c>
      <c r="D128" s="4">
        <v>5.0165214779213027E-2</v>
      </c>
    </row>
    <row r="129" spans="1:4" x14ac:dyDescent="0.25">
      <c r="A129" s="3">
        <v>45396</v>
      </c>
      <c r="B129" s="4">
        <v>-3.0874961534516267E-2</v>
      </c>
      <c r="C129" s="4">
        <v>1.9315188762071892E-3</v>
      </c>
      <c r="D129" s="4">
        <v>-2.0022883295194589E-2</v>
      </c>
    </row>
    <row r="130" spans="1:4" x14ac:dyDescent="0.25">
      <c r="A130" s="3">
        <v>45403</v>
      </c>
      <c r="B130" s="4">
        <v>1.9475021168501156E-2</v>
      </c>
      <c r="C130" s="4">
        <v>1.3319313003855556E-2</v>
      </c>
      <c r="D130" s="4">
        <v>1.6345592527729196E-2</v>
      </c>
    </row>
    <row r="131" spans="1:4" x14ac:dyDescent="0.25">
      <c r="A131" s="3">
        <v>45410</v>
      </c>
      <c r="B131" s="4">
        <v>-2.3878737541527177E-3</v>
      </c>
      <c r="C131" s="4">
        <v>-7.2639225181598361E-3</v>
      </c>
      <c r="D131" s="4">
        <v>-4.5950603101665752E-2</v>
      </c>
    </row>
    <row r="132" spans="1:4" x14ac:dyDescent="0.25">
      <c r="A132" s="3">
        <v>45417</v>
      </c>
      <c r="B132" s="4">
        <v>1.9669060256009997E-2</v>
      </c>
      <c r="C132" s="4">
        <v>3.5714285714285789E-2</v>
      </c>
      <c r="D132" s="4">
        <v>6.7730282962071051E-2</v>
      </c>
    </row>
    <row r="133" spans="1:4" x14ac:dyDescent="0.25">
      <c r="A133" s="3">
        <v>45424</v>
      </c>
      <c r="B133" s="4">
        <v>6.2257603592569856E-3</v>
      </c>
      <c r="C133" s="4">
        <v>-6.0555088309503687E-3</v>
      </c>
      <c r="D133" s="4">
        <v>1.9171130532844648E-2</v>
      </c>
    </row>
    <row r="134" spans="1:4" x14ac:dyDescent="0.25">
      <c r="A134" s="3">
        <v>45431</v>
      </c>
      <c r="B134" s="4">
        <v>1.2171619839739358E-3</v>
      </c>
      <c r="C134" s="4">
        <v>-4.7385344389913884E-3</v>
      </c>
      <c r="D134" s="4">
        <v>-3.5961272475795218E-2</v>
      </c>
    </row>
    <row r="135" spans="1:4" x14ac:dyDescent="0.25">
      <c r="A135" s="3">
        <v>45438</v>
      </c>
      <c r="B135" s="4">
        <v>-1.3980346469455937E-2</v>
      </c>
      <c r="C135" s="4">
        <v>-8.3319163407584076E-3</v>
      </c>
      <c r="D135" s="4">
        <v>-5.7388809182218434E-4</v>
      </c>
    </row>
    <row r="136" spans="1:4" x14ac:dyDescent="0.25">
      <c r="A136" s="3">
        <v>45445</v>
      </c>
      <c r="B136" s="4">
        <v>2.5377581424021359E-2</v>
      </c>
      <c r="C136" s="4">
        <v>3.0864197530864148E-3</v>
      </c>
      <c r="D136" s="4">
        <v>-3.5601492965833904E-2</v>
      </c>
    </row>
    <row r="137" spans="1:4" x14ac:dyDescent="0.25">
      <c r="A137" s="3">
        <v>45452</v>
      </c>
      <c r="B137" s="4">
        <v>1.0821643286573129E-2</v>
      </c>
      <c r="C137" s="4">
        <v>-6.2051282051282096E-2</v>
      </c>
      <c r="D137" s="4">
        <v>-1.4885382554331646E-2</v>
      </c>
    </row>
    <row r="138" spans="1:4" x14ac:dyDescent="0.25">
      <c r="A138" s="3">
        <v>45459</v>
      </c>
      <c r="B138" s="4">
        <v>7.4345757335448062E-3</v>
      </c>
      <c r="C138" s="4">
        <v>1.9318388919263758E-2</v>
      </c>
      <c r="D138" s="4">
        <v>3.6869144756724051E-2</v>
      </c>
    </row>
    <row r="139" spans="1:4" x14ac:dyDescent="0.25">
      <c r="A139" s="3">
        <v>45466</v>
      </c>
      <c r="B139" s="4">
        <v>4.2310341434616434E-3</v>
      </c>
      <c r="C139" s="4">
        <v>-1.9309851600214523E-2</v>
      </c>
      <c r="D139" s="4">
        <v>1.3407169921305766E-2</v>
      </c>
    </row>
    <row r="140" spans="1:4" x14ac:dyDescent="0.25">
      <c r="A140" s="3">
        <v>45473</v>
      </c>
      <c r="B140" s="4">
        <v>1.0777973740936648E-3</v>
      </c>
      <c r="C140" s="4">
        <v>2.7529626253418378E-2</v>
      </c>
      <c r="D140" s="4">
        <v>5.7808455565142303E-2</v>
      </c>
    </row>
    <row r="141" spans="1:4" x14ac:dyDescent="0.25">
      <c r="A141" s="3">
        <v>45480</v>
      </c>
      <c r="B141" s="4">
        <v>1.0962121953606779E-2</v>
      </c>
      <c r="C141" s="4">
        <v>6.3875088715400893E-3</v>
      </c>
      <c r="D141" s="4">
        <v>3.8879825992387158E-2</v>
      </c>
    </row>
    <row r="142" spans="1:4" x14ac:dyDescent="0.25">
      <c r="A142" s="3">
        <v>45487</v>
      </c>
      <c r="B142" s="4">
        <v>-2.0815180559589558E-2</v>
      </c>
      <c r="C142" s="4">
        <v>-2.5211565585331448E-2</v>
      </c>
      <c r="D142" s="4">
        <v>-1.9890081130594033E-2</v>
      </c>
    </row>
    <row r="143" spans="1:4" x14ac:dyDescent="0.25">
      <c r="A143" s="3">
        <v>45494</v>
      </c>
      <c r="B143" s="4">
        <v>-6.6244809175400607E-3</v>
      </c>
      <c r="C143" s="4">
        <v>1.9895098571170093E-3</v>
      </c>
      <c r="D143" s="4">
        <v>-1.2817089452603576E-2</v>
      </c>
    </row>
    <row r="144" spans="1:4" x14ac:dyDescent="0.25">
      <c r="A144" s="3">
        <v>45501</v>
      </c>
      <c r="B144" s="4">
        <v>-3.1153578182542007E-2</v>
      </c>
      <c r="C144" s="4">
        <v>-3.3032490974729212E-2</v>
      </c>
      <c r="D144" s="4">
        <v>-9.1966459291316291E-3</v>
      </c>
    </row>
    <row r="145" spans="1:4" x14ac:dyDescent="0.25">
      <c r="A145" s="3">
        <v>45508</v>
      </c>
      <c r="B145" s="4">
        <v>2.8765153071707533E-3</v>
      </c>
      <c r="C145" s="4">
        <v>2.0533880903490652E-3</v>
      </c>
      <c r="D145" s="4">
        <v>-4.3680043680044689E-3</v>
      </c>
    </row>
    <row r="146" spans="1:4" x14ac:dyDescent="0.25">
      <c r="A146" s="3">
        <v>45515</v>
      </c>
      <c r="B146" s="4">
        <v>3.3702110223314811E-2</v>
      </c>
      <c r="C146" s="4">
        <v>2.4217585692995477E-2</v>
      </c>
      <c r="D146" s="4">
        <v>7.0194680559363926E-2</v>
      </c>
    </row>
    <row r="147" spans="1:4" x14ac:dyDescent="0.25">
      <c r="A147" s="3">
        <v>45522</v>
      </c>
      <c r="B147" s="4">
        <v>3.0720443959964551E-3</v>
      </c>
      <c r="C147" s="4">
        <v>1.8552200800291074E-2</v>
      </c>
      <c r="D147" s="4">
        <v>1.3579297975915991E-2</v>
      </c>
    </row>
    <row r="148" spans="1:4" x14ac:dyDescent="0.25">
      <c r="A148" s="3">
        <v>45529</v>
      </c>
      <c r="B148" s="4">
        <v>8.3975498913257691E-3</v>
      </c>
      <c r="C148" s="4">
        <v>6.7857142857143315E-3</v>
      </c>
      <c r="D148" s="4">
        <v>-1.3144590495450028E-2</v>
      </c>
    </row>
    <row r="149" spans="1:4" x14ac:dyDescent="0.25">
      <c r="A149" s="3">
        <v>45536</v>
      </c>
      <c r="B149" s="4">
        <v>-3.507396884491034E-2</v>
      </c>
      <c r="C149" s="4">
        <v>-3.5650940049663092E-2</v>
      </c>
      <c r="D149" s="4">
        <v>-4.7387295081967248E-2</v>
      </c>
    </row>
    <row r="150" spans="1:4" x14ac:dyDescent="0.25">
      <c r="A150" s="3">
        <v>45543</v>
      </c>
      <c r="B150" s="4">
        <v>3.4419738044471529E-2</v>
      </c>
      <c r="C150" s="4">
        <v>1.5633621482435193E-2</v>
      </c>
      <c r="D150" s="4">
        <v>7.8784619521376706E-2</v>
      </c>
    </row>
    <row r="151" spans="1:4" x14ac:dyDescent="0.25">
      <c r="A151" s="3">
        <v>45550</v>
      </c>
      <c r="B151" s="4">
        <v>3.6317235963879519E-3</v>
      </c>
      <c r="C151" s="4">
        <v>5.4328141977545144E-3</v>
      </c>
      <c r="D151" s="4">
        <v>1.4955134596211933E-3</v>
      </c>
    </row>
    <row r="152" spans="1:4" x14ac:dyDescent="0.25">
      <c r="A152" s="3">
        <v>45557</v>
      </c>
      <c r="B152" s="4">
        <v>1.4083129584352056E-2</v>
      </c>
      <c r="C152" s="4">
        <v>3.8904899135446619E-2</v>
      </c>
      <c r="D152" s="4">
        <v>8.710801393728259E-3</v>
      </c>
    </row>
    <row r="153" spans="1:4" x14ac:dyDescent="0.25">
      <c r="A153" s="3">
        <v>45564</v>
      </c>
      <c r="B153" s="4">
        <v>6.8473333976276207E-3</v>
      </c>
      <c r="C153" s="4">
        <v>-2.999306518723989E-2</v>
      </c>
      <c r="D153" s="4">
        <v>3.4542314335060586E-3</v>
      </c>
    </row>
    <row r="154" spans="1:4" x14ac:dyDescent="0.25">
      <c r="A154" s="3">
        <v>45571</v>
      </c>
      <c r="B154" s="4">
        <v>1.5613026819923327E-2</v>
      </c>
      <c r="C154" s="4">
        <v>4.8257372654154779E-3</v>
      </c>
      <c r="D154" s="4">
        <v>5.4093926727317148E-3</v>
      </c>
    </row>
    <row r="155" spans="1:4" x14ac:dyDescent="0.25">
      <c r="A155" s="3">
        <v>45578</v>
      </c>
      <c r="B155" s="4">
        <v>1.3298123172686943E-2</v>
      </c>
      <c r="C155" s="4">
        <v>3.0238349341871525E-3</v>
      </c>
      <c r="D155" s="4">
        <v>9.195402298850569E-2</v>
      </c>
    </row>
    <row r="156" spans="1:4" x14ac:dyDescent="0.25">
      <c r="A156" s="3">
        <v>45585</v>
      </c>
      <c r="B156" s="4">
        <v>-3.8160833953834383E-3</v>
      </c>
      <c r="C156" s="4">
        <v>-1.596027664479515E-2</v>
      </c>
      <c r="D156" s="4">
        <v>-1.9484882418812934E-2</v>
      </c>
    </row>
    <row r="157" spans="1:4" x14ac:dyDescent="0.25">
      <c r="A157" s="3">
        <v>45592</v>
      </c>
      <c r="B157" s="4">
        <v>-1.532280668971317E-2</v>
      </c>
      <c r="C157" s="4">
        <v>-1.1713822310326159E-2</v>
      </c>
      <c r="D157" s="4">
        <v>-4.8195523069894913E-2</v>
      </c>
    </row>
    <row r="158" spans="1:4" x14ac:dyDescent="0.25">
      <c r="A158" s="3">
        <v>45599</v>
      </c>
      <c r="B158" s="4">
        <v>4.212923427270137E-2</v>
      </c>
      <c r="C158" s="4">
        <v>-9.8468271334793255E-3</v>
      </c>
      <c r="D158" s="4">
        <v>-1.1519078473722197E-2</v>
      </c>
    </row>
    <row r="159" spans="1:4" x14ac:dyDescent="0.25">
      <c r="A159" s="3">
        <v>45606</v>
      </c>
      <c r="B159" s="4">
        <v>-3.0046435400163736E-3</v>
      </c>
      <c r="C159" s="4">
        <v>-9.2081031307550652E-3</v>
      </c>
      <c r="D159" s="4">
        <v>-7.8174314153920829E-2</v>
      </c>
    </row>
    <row r="160" spans="1:4" x14ac:dyDescent="0.25">
      <c r="A160" s="3">
        <v>45613</v>
      </c>
      <c r="B160" s="4">
        <v>2.7579908675799049E-2</v>
      </c>
      <c r="C160" s="4">
        <v>-1.6728624535315298E-3</v>
      </c>
      <c r="D160" s="4">
        <v>9.6128522517777162E-2</v>
      </c>
    </row>
    <row r="161" spans="1:4" x14ac:dyDescent="0.25">
      <c r="A161" s="3">
        <v>45620</v>
      </c>
      <c r="B161" s="4">
        <v>-8.8873089228500756E-5</v>
      </c>
      <c r="C161" s="4">
        <v>-2.7927760193632205E-3</v>
      </c>
      <c r="D161" s="4">
        <v>-3.2196059586737061E-2</v>
      </c>
    </row>
    <row r="162" spans="1:4" x14ac:dyDescent="0.25">
      <c r="A162" s="3">
        <v>45627</v>
      </c>
      <c r="B162" s="4">
        <v>1.031019464936447E-2</v>
      </c>
      <c r="C162" s="4">
        <v>2.7632561613144077E-2</v>
      </c>
      <c r="D162" s="4">
        <v>-9.9304865938430621E-3</v>
      </c>
    </row>
    <row r="163" spans="1:4" x14ac:dyDescent="0.25">
      <c r="A163" s="3">
        <v>45634</v>
      </c>
      <c r="B163" s="4">
        <v>-3.3430104689011653E-3</v>
      </c>
      <c r="C163" s="4">
        <v>-2.3619186046512095E-3</v>
      </c>
      <c r="D163" s="4">
        <v>1.5045135406217443E-3</v>
      </c>
    </row>
    <row r="164" spans="1:4" x14ac:dyDescent="0.25">
      <c r="A164" s="3">
        <v>45641</v>
      </c>
      <c r="B164" s="4">
        <v>-1.2710742342660534E-2</v>
      </c>
      <c r="C164" s="4">
        <v>-1.7483154252412928E-2</v>
      </c>
      <c r="D164" s="4">
        <v>-4.7821732598898263E-2</v>
      </c>
    </row>
    <row r="165" spans="1:4" x14ac:dyDescent="0.25">
      <c r="A165" s="3">
        <v>45648</v>
      </c>
      <c r="B165" s="4">
        <v>2.9503799731784757E-3</v>
      </c>
      <c r="C165" s="4">
        <v>1.0009267840593125E-2</v>
      </c>
      <c r="D165" s="4">
        <v>-1.1832763607678223E-2</v>
      </c>
    </row>
    <row r="166" spans="1:4" x14ac:dyDescent="0.25">
      <c r="A166" s="3">
        <v>45655</v>
      </c>
      <c r="B166" s="4">
        <v>6.0616865751470187E-3</v>
      </c>
      <c r="C166" s="4">
        <v>-8.6254358597907654E-3</v>
      </c>
      <c r="D166" s="4">
        <v>3.6987759446514119E-2</v>
      </c>
    </row>
    <row r="167" spans="1:4" x14ac:dyDescent="0.25">
      <c r="A167" s="3">
        <v>45662</v>
      </c>
      <c r="B167" s="4">
        <v>-9.4807726386673154E-3</v>
      </c>
      <c r="C167" s="4">
        <v>1.943724546464267E-2</v>
      </c>
      <c r="D167" s="4">
        <v>5.8763151141904009E-2</v>
      </c>
    </row>
    <row r="168" spans="1:4" x14ac:dyDescent="0.25">
      <c r="A168" s="3">
        <v>45669</v>
      </c>
      <c r="B168" s="4">
        <v>2.4868056176759877E-2</v>
      </c>
      <c r="C168" s="4">
        <v>3.7406936626112261E-2</v>
      </c>
      <c r="D168" s="4">
        <v>3.3931168201648226E-3</v>
      </c>
    </row>
    <row r="169" spans="1:4" x14ac:dyDescent="0.25">
      <c r="A169" s="3">
        <v>45676</v>
      </c>
      <c r="B169" s="4">
        <v>9.6011172209141708E-4</v>
      </c>
      <c r="C169" s="4">
        <v>2.7481183266234905E-2</v>
      </c>
      <c r="D169" s="4">
        <v>3.7439613526570152E-2</v>
      </c>
    </row>
    <row r="170" spans="1:4" x14ac:dyDescent="0.25">
      <c r="A170" s="3">
        <v>45683</v>
      </c>
      <c r="B170" s="4">
        <v>1.2556679455877203E-2</v>
      </c>
      <c r="C170" s="4">
        <v>3.0664395229982916E-3</v>
      </c>
      <c r="D170" s="4">
        <v>6.4027939464493588E-2</v>
      </c>
    </row>
    <row r="171" spans="1:4" x14ac:dyDescent="0.25">
      <c r="A171" s="3">
        <v>45690</v>
      </c>
      <c r="B171" s="4">
        <v>-2.32518084739933E-3</v>
      </c>
      <c r="C171" s="4">
        <v>3.2269021739130049E-3</v>
      </c>
      <c r="D171" s="4">
        <v>4.0262582056892697E-2</v>
      </c>
    </row>
    <row r="172" spans="1:4" x14ac:dyDescent="0.25">
      <c r="A172" s="3">
        <v>45697</v>
      </c>
      <c r="B172" s="4">
        <v>-5.1791109192911582E-4</v>
      </c>
      <c r="C172" s="4">
        <v>2.4208566108007444E-2</v>
      </c>
      <c r="D172" s="4">
        <v>-1.4514093395035711E-2</v>
      </c>
    </row>
    <row r="173" spans="1:4" x14ac:dyDescent="0.25">
      <c r="A173" s="3">
        <v>45704</v>
      </c>
      <c r="B173" s="4">
        <v>5.1817946282052042E-4</v>
      </c>
      <c r="C173" s="4">
        <v>-3.6363636363636177E-3</v>
      </c>
      <c r="D173" s="4">
        <v>-1.0672358591249575E-3</v>
      </c>
    </row>
    <row r="174" spans="1:4" x14ac:dyDescent="0.25">
      <c r="A174" s="3">
        <v>45711</v>
      </c>
      <c r="B174" s="4">
        <v>-2.339231765213633E-2</v>
      </c>
      <c r="C174" s="4">
        <v>-3.1519575315195375E-3</v>
      </c>
      <c r="D174" s="4">
        <v>-6.1538461538461445E-2</v>
      </c>
    </row>
    <row r="175" spans="1:4" x14ac:dyDescent="0.25">
      <c r="A175" s="3">
        <v>45718</v>
      </c>
      <c r="B175" s="4">
        <v>-6.1074774615520563E-2</v>
      </c>
      <c r="C175" s="4">
        <v>2.1634215343650431E-3</v>
      </c>
      <c r="D175" s="4">
        <v>2.0491803278688492E-2</v>
      </c>
    </row>
    <row r="176" spans="1:4" x14ac:dyDescent="0.25">
      <c r="A176" s="3">
        <v>45725</v>
      </c>
      <c r="B176" s="4">
        <v>-1.1578650098842172E-2</v>
      </c>
      <c r="C176" s="4">
        <v>-1.095981401527726E-2</v>
      </c>
      <c r="D176" s="4">
        <v>5.7563587684069571E-2</v>
      </c>
    </row>
    <row r="177" spans="1:4" x14ac:dyDescent="0.25">
      <c r="A177" s="3">
        <v>45732</v>
      </c>
      <c r="B177" s="4">
        <v>1.1238095238095304E-2</v>
      </c>
      <c r="C177" s="4">
        <v>1.6789791806578257E-4</v>
      </c>
      <c r="D177" s="4">
        <v>2.9113924050632966E-2</v>
      </c>
    </row>
    <row r="178" spans="1:4" x14ac:dyDescent="0.25">
      <c r="A178" s="3">
        <v>45739</v>
      </c>
      <c r="B178" s="4">
        <v>-1.1019024298361289E-2</v>
      </c>
      <c r="C178" s="4">
        <v>-1.3933187846231296E-2</v>
      </c>
      <c r="D178" s="4">
        <v>4.2230422304223088E-2</v>
      </c>
    </row>
    <row r="179" spans="1:4" x14ac:dyDescent="0.25">
      <c r="A179" s="3">
        <v>45746</v>
      </c>
      <c r="B179" s="4">
        <v>-8.9324826207027988E-2</v>
      </c>
      <c r="C179" s="4">
        <v>-8.0183861082737493E-2</v>
      </c>
      <c r="D179" s="4">
        <v>-9.5790715971675933E-2</v>
      </c>
    </row>
    <row r="180" spans="1:4" x14ac:dyDescent="0.25">
      <c r="A180" s="3">
        <v>45753</v>
      </c>
      <c r="B180" s="4">
        <v>-1.4221478615497224E-2</v>
      </c>
      <c r="C180" s="4">
        <v>-1.9988895058300912E-2</v>
      </c>
      <c r="D180" s="4">
        <v>0.16032194909723743</v>
      </c>
    </row>
    <row r="181" spans="1:4" x14ac:dyDescent="0.25">
      <c r="A181" s="3">
        <v>45760</v>
      </c>
      <c r="B181" s="4">
        <v>1.6017821152010239E-2</v>
      </c>
      <c r="C181" s="4">
        <v>2.3984891406987646E-2</v>
      </c>
      <c r="D181" s="4">
        <v>3.5245594300712321E-2</v>
      </c>
    </row>
    <row r="182" spans="1:4" x14ac:dyDescent="0.25">
      <c r="A182" s="3">
        <v>45767</v>
      </c>
      <c r="B182" s="4">
        <v>3.4871580705784125E-2</v>
      </c>
      <c r="C182" s="4">
        <v>4.0575433419402486E-2</v>
      </c>
      <c r="D182" s="4">
        <v>-5.9217674755523288E-2</v>
      </c>
    </row>
    <row r="183" spans="1:4" x14ac:dyDescent="0.25">
      <c r="A183" s="3">
        <v>45774</v>
      </c>
      <c r="B183" s="4">
        <v>3.6016949152542305E-2</v>
      </c>
      <c r="C183" s="4">
        <v>3.2967032967032954E-2</v>
      </c>
      <c r="D183" s="4">
        <v>-2.7526467757459087E-2</v>
      </c>
    </row>
    <row r="184" spans="1:4" x14ac:dyDescent="0.25">
      <c r="A184" s="3">
        <v>45781</v>
      </c>
      <c r="B184" s="4">
        <v>6.6218716525465659E-3</v>
      </c>
      <c r="C184" s="4">
        <v>3.4317089910774834E-3</v>
      </c>
      <c r="D184" s="4">
        <v>7.9176563737133804E-2</v>
      </c>
    </row>
    <row r="185" spans="1:4" x14ac:dyDescent="0.25">
      <c r="A185" s="3">
        <v>45788</v>
      </c>
      <c r="B185" s="4">
        <v>4.8079713649995151E-2</v>
      </c>
      <c r="C185" s="4">
        <v>2.120383036935708E-2</v>
      </c>
      <c r="D185" s="4">
        <v>-8.4739545121056567E-2</v>
      </c>
    </row>
    <row r="186" spans="1:4" x14ac:dyDescent="0.25">
      <c r="A186" s="3">
        <v>45795</v>
      </c>
      <c r="B186" s="4">
        <v>-3.0182757984124148E-2</v>
      </c>
      <c r="C186" s="4">
        <v>-1.3563295378432724E-2</v>
      </c>
      <c r="D186" s="4">
        <v>9.058116232464937E-2</v>
      </c>
    </row>
    <row r="187" spans="1:4" x14ac:dyDescent="0.25">
      <c r="A187" s="3">
        <v>45802</v>
      </c>
      <c r="B187" s="4">
        <v>1.3705148948320282E-2</v>
      </c>
      <c r="C187" s="4">
        <v>4.5832626039722145E-3</v>
      </c>
      <c r="D187" s="4">
        <v>-1.3781697905181918E-2</v>
      </c>
    </row>
    <row r="188" spans="1:4" x14ac:dyDescent="0.25">
      <c r="A188" s="3">
        <v>45809</v>
      </c>
      <c r="B188" s="4">
        <v>1.1923763026945788E-2</v>
      </c>
      <c r="C188" s="4">
        <v>6.4210882054748656E-3</v>
      </c>
      <c r="D188" s="4">
        <v>5.0680081982485539E-2</v>
      </c>
    </row>
    <row r="189" spans="1:4" x14ac:dyDescent="0.25">
      <c r="A189" s="3">
        <v>45816</v>
      </c>
      <c r="B189" s="4">
        <v>-1.2432733345704244E-2</v>
      </c>
      <c r="C189" s="4">
        <v>-1.5278710543989316E-2</v>
      </c>
      <c r="D189" s="4">
        <v>2.3231069338535242E-2</v>
      </c>
    </row>
    <row r="190" spans="1:4" x14ac:dyDescent="0.25">
      <c r="A190" s="3">
        <v>45823</v>
      </c>
      <c r="B190" s="4">
        <v>-3.2882375046974287E-3</v>
      </c>
      <c r="C190" s="4">
        <v>-1.0400682011935199E-2</v>
      </c>
      <c r="D190" s="4">
        <v>-2.5823223570190675E-2</v>
      </c>
    </row>
    <row r="191" spans="1:4" x14ac:dyDescent="0.25">
      <c r="A191" s="3">
        <v>45830</v>
      </c>
      <c r="B191" s="4">
        <v>1.5270053727966729E-2</v>
      </c>
      <c r="C191" s="4">
        <v>1.206064782908344E-2</v>
      </c>
      <c r="D191" s="4">
        <v>-7.2051236434798147E-2</v>
      </c>
    </row>
    <row r="192" spans="1:4" x14ac:dyDescent="0.25">
      <c r="A192" s="3">
        <v>45837</v>
      </c>
      <c r="B192" s="4">
        <v>9.2841890260893635E-4</v>
      </c>
      <c r="C192" s="4">
        <v>2.3833844058563257E-3</v>
      </c>
      <c r="D192" s="4">
        <v>4.4861963190184116E-2</v>
      </c>
    </row>
    <row r="193" spans="1:4" x14ac:dyDescent="0.25">
      <c r="A193" s="3">
        <v>45844</v>
      </c>
      <c r="B193" s="4">
        <v>7.6987292458955414E-3</v>
      </c>
      <c r="C193" s="4">
        <v>1.5624999999999908E-2</v>
      </c>
      <c r="D193" s="4">
        <v>2.935779816513699E-3</v>
      </c>
    </row>
    <row r="194" spans="1:4" x14ac:dyDescent="0.25">
      <c r="A194" s="3">
        <v>45851</v>
      </c>
      <c r="B194" s="4">
        <v>9.3888070692194035E-3</v>
      </c>
      <c r="C194" s="4">
        <v>-1.6722408026754903E-3</v>
      </c>
      <c r="D194" s="4">
        <v>-2.4149286498353333E-2</v>
      </c>
    </row>
    <row r="195" spans="1:4" x14ac:dyDescent="0.25">
      <c r="A195" s="3">
        <v>45858</v>
      </c>
      <c r="B195" s="4">
        <v>7.1128944008754438E-3</v>
      </c>
      <c r="C195" s="4">
        <v>1.1725293132328356E-3</v>
      </c>
      <c r="D195" s="4">
        <v>3.5433070866141607E-2</v>
      </c>
    </row>
    <row r="196" spans="1:4" x14ac:dyDescent="0.25">
      <c r="A196" s="3">
        <v>45865</v>
      </c>
      <c r="B196" s="4">
        <v>-1.0231800072437482E-2</v>
      </c>
      <c r="C196" s="4">
        <v>-3.6473147063744348E-2</v>
      </c>
      <c r="D196" s="4">
        <v>-6.5181966322650636E-3</v>
      </c>
    </row>
    <row r="197" spans="1:4" x14ac:dyDescent="0.25">
      <c r="A197" s="3">
        <v>45872</v>
      </c>
      <c r="B197" s="4">
        <v>1.6100997164028824E-2</v>
      </c>
      <c r="C197" s="4">
        <v>2.5872547317242485E-2</v>
      </c>
      <c r="D197" s="4">
        <v>0.12356478950246039</v>
      </c>
    </row>
    <row r="198" spans="1:4" x14ac:dyDescent="0.25">
      <c r="A198" s="3">
        <v>45879</v>
      </c>
      <c r="B198" s="4">
        <v>9.4534977941839512E-3</v>
      </c>
      <c r="C198" s="4">
        <v>2.2681110358835535E-2</v>
      </c>
      <c r="D198" s="4">
        <v>-7.9480940794809732E-3</v>
      </c>
    </row>
    <row r="199" spans="1:4" x14ac:dyDescent="0.25">
      <c r="A199" s="3">
        <v>45886</v>
      </c>
      <c r="B199" s="4">
        <v>5.9757402782732935E-3</v>
      </c>
      <c r="C199" s="4">
        <v>6.620324395895375E-3</v>
      </c>
      <c r="D199" s="4">
        <v>3.3845650752125582E-2</v>
      </c>
    </row>
    <row r="200" spans="1:4" x14ac:dyDescent="0.25">
      <c r="A200" s="3">
        <v>45893</v>
      </c>
      <c r="B200" s="4">
        <v>-5.3196205337353352E-3</v>
      </c>
      <c r="C200" s="4">
        <v>-3.1075304176257819E-2</v>
      </c>
      <c r="D200" s="4">
        <v>3.6849596710422358E-2</v>
      </c>
    </row>
    <row r="201" spans="1:4" x14ac:dyDescent="0.25">
      <c r="A201" s="3">
        <v>45900</v>
      </c>
      <c r="B201" s="4">
        <v>-8.022105356983993E-4</v>
      </c>
      <c r="C201" s="4">
        <v>-4.2423213982691332E-3</v>
      </c>
      <c r="D201" s="4">
        <v>5.1250762660158621E-2</v>
      </c>
    </row>
    <row r="202" spans="1:4" x14ac:dyDescent="0.25">
      <c r="A202" s="3">
        <v>45907</v>
      </c>
      <c r="B202" s="4">
        <v>1.909009812667262E-2</v>
      </c>
      <c r="C202" s="4">
        <v>1.7723244717109732E-2</v>
      </c>
      <c r="D202" s="4">
        <v>6.6453859547301194E-2</v>
      </c>
    </row>
    <row r="203" spans="1:4" x14ac:dyDescent="0.25">
      <c r="A203" s="3">
        <v>45914</v>
      </c>
      <c r="B203" s="4">
        <v>4.2016806722689429E-3</v>
      </c>
      <c r="C203" s="4">
        <v>2.1768251841929429E-3</v>
      </c>
      <c r="D203" s="4">
        <v>1.3877551020408109E-2</v>
      </c>
    </row>
    <row r="204" spans="1:4" x14ac:dyDescent="0.25">
      <c r="A204" s="3">
        <v>45921</v>
      </c>
      <c r="B204" s="4">
        <v>1.1331938633193468E-3</v>
      </c>
      <c r="C204" s="4">
        <v>3.5087719298245758E-3</v>
      </c>
      <c r="D204" s="4">
        <v>4.8040794417605989E-2</v>
      </c>
    </row>
    <row r="205" spans="1:4" x14ac:dyDescent="0.25">
      <c r="A205" s="3">
        <v>45928</v>
      </c>
      <c r="B205" s="4">
        <v>1.6630387461906929E-2</v>
      </c>
      <c r="C205" s="4">
        <v>2.5474525474525493E-2</v>
      </c>
      <c r="D205" s="4">
        <v>4.238156209987199E-2</v>
      </c>
    </row>
    <row r="206" spans="1:4" x14ac:dyDescent="0.25">
      <c r="A206" s="3">
        <v>45935</v>
      </c>
      <c r="B206" s="4">
        <v>-8.9928057553957802E-3</v>
      </c>
      <c r="C206" s="4">
        <v>-2.0620230556908637E-2</v>
      </c>
      <c r="D206" s="4">
        <v>-1.5354379068910453E-2</v>
      </c>
    </row>
    <row r="207" spans="1:4" x14ac:dyDescent="0.25">
      <c r="A207" s="3">
        <v>45942</v>
      </c>
      <c r="B207" s="4">
        <v>-2.1605738484141391E-3</v>
      </c>
      <c r="C207" s="4">
        <v>3.1664456233421692E-2</v>
      </c>
      <c r="D207" s="4">
        <v>5.0274451097804408E-2</v>
      </c>
    </row>
    <row r="208" spans="1:4" x14ac:dyDescent="0.25">
      <c r="A208" s="3">
        <v>45949</v>
      </c>
      <c r="B208" s="4">
        <v>2.8061666377966477E-2</v>
      </c>
      <c r="C208" s="4">
        <v>6.2670737586373228E-3</v>
      </c>
      <c r="D208" s="4">
        <v>-6.0814823613255783E-2</v>
      </c>
    </row>
    <row r="209" spans="1:4" x14ac:dyDescent="0.25">
      <c r="A209" s="3">
        <v>45956</v>
      </c>
      <c r="B209" s="4">
        <v>1.1036225779275504E-2</v>
      </c>
      <c r="C209" s="4">
        <v>-1.165761737464064E-2</v>
      </c>
      <c r="D209" s="4">
        <v>-2.5167573036549831E-2</v>
      </c>
    </row>
    <row r="210" spans="1:4" x14ac:dyDescent="0.25">
      <c r="A210" s="3">
        <v>45963</v>
      </c>
      <c r="B210" s="4">
        <v>-2.8080993250562489E-2</v>
      </c>
      <c r="C210" s="4">
        <v>-2.1166585878170985E-2</v>
      </c>
      <c r="D210" s="4">
        <v>-5.1894135962625898E-4</v>
      </c>
    </row>
    <row r="211" spans="1:4" x14ac:dyDescent="0.25">
      <c r="A211" s="3">
        <v>45970</v>
      </c>
      <c r="B211" s="4">
        <v>1.4231824417009573E-2</v>
      </c>
      <c r="C211" s="4">
        <v>2.7731924727632879E-2</v>
      </c>
      <c r="D211" s="4">
        <v>7.2819314641744529E-2</v>
      </c>
    </row>
    <row r="212" spans="1:4" x14ac:dyDescent="0.25">
      <c r="A212" s="3">
        <v>45977</v>
      </c>
      <c r="B212" s="4">
        <v>-1.8174133558748872E-2</v>
      </c>
      <c r="C212" s="4">
        <v>-2.1362030195952432E-2</v>
      </c>
      <c r="D212" s="4">
        <v>-3.4845735027223344E-2</v>
      </c>
    </row>
    <row r="213" spans="1:4" x14ac:dyDescent="0.25">
      <c r="A213" s="3">
        <v>45984</v>
      </c>
      <c r="B213" s="4">
        <v>2.9530779164872945E-2</v>
      </c>
      <c r="C213" s="4">
        <v>1.7889381257180426E-2</v>
      </c>
      <c r="D213" s="4">
        <v>0.11984455309013417</v>
      </c>
    </row>
    <row r="214" spans="1:4" x14ac:dyDescent="0.25">
      <c r="A214" s="3">
        <v>45991</v>
      </c>
      <c r="B214" s="4">
        <v>2.5924067569827922E-3</v>
      </c>
      <c r="C214" s="4">
        <v>-2.4185746533377244E-3</v>
      </c>
      <c r="D214" s="4">
        <v>-1.7575282659800663E-2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MSCI data</vt:lpstr>
      <vt:lpstr>France equity data</vt:lpstr>
      <vt:lpstr>Gold data</vt:lpstr>
      <vt:lpstr>index MSCI</vt:lpstr>
      <vt:lpstr>index France</vt:lpstr>
      <vt:lpstr>index Gold</vt:lpstr>
      <vt:lpstr>Graph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T480</dc:creator>
  <cp:lastModifiedBy>Wahiba LAZRAQ</cp:lastModifiedBy>
  <dcterms:created xsi:type="dcterms:W3CDTF">2026-01-05T03:49:48Z</dcterms:created>
  <dcterms:modified xsi:type="dcterms:W3CDTF">2026-02-08T22:05:57Z</dcterms:modified>
</cp:coreProperties>
</file>